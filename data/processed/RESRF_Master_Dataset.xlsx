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ster_Data" sheetId="1" state="visible" r:id="rId3"/>
    <sheet name="Data_Dictionary" sheetId="2" state="visible" r:id="rId4"/>
    <sheet name="Merge_Log" sheetId="3" state="visible" r:id="rId5"/>
    <sheet name="Data_Quality_Report" sheetId="4" state="visible" r:id="rId6"/>
    <sheet name="State_Name_Lookup" sheetId="5" state="visible" r:id="rId7"/>
    <sheet name="External_Data_Log" sheetId="6" state="visible" r:id="rId8"/>
    <sheet name="Policy_Timeline" sheetId="7" state="visible" r:id="rId9"/>
    <sheet name="State_Regulations" sheetId="8" state="visible" r:id="rId10"/>
    <sheet name="BESS_Summary" sheetId="9" state="visible" r:id="rId11"/>
    <sheet name="National_Peak_Demand" sheetId="10" state="visible" r:id="rId12"/>
    <sheet name="Year_Wise_RE_Growth"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<sst xmlns="http://schemas.openxmlformats.org/spreadsheetml/2006/main" count="2054" uniqueCount="495">
  <si>
    <t xml:space="preserve">RESRF Master Dataset v2 — State / UT Level (as on 30.06.2026 unless noted)</t>
  </si>
  <si>
    <t xml:space="preserve">One row per State/UT (28 States + 8 UTs = 36 rows). Blank cells = data not available in any official source (never estimated). See Data_Dictionary, Merge_Log, External_Data_Log.</t>
  </si>
  <si>
    <t xml:space="preserve">State_UT</t>
  </si>
  <si>
    <t xml:space="preserve">Region</t>
  </si>
  <si>
    <t xml:space="preserve">Population_2011_Census</t>
  </si>
  <si>
    <t xml:space="preserve">Installed_Solar_Capacity_MW</t>
  </si>
  <si>
    <t xml:space="preserve">Installed_Wind_Capacity_MW</t>
  </si>
  <si>
    <t xml:space="preserve">Small_Hydro_Capacity_MW</t>
  </si>
  <si>
    <t xml:space="preserve">Large_Hydro_Capacity_MW</t>
  </si>
  <si>
    <t xml:space="preserve">Bio_Power_Capacity_MW</t>
  </si>
  <si>
    <t xml:space="preserve">Total_Installed_Renewable_Capacity_MW</t>
  </si>
  <si>
    <t xml:space="preserve">Solar_Generation_MU_Jun2026</t>
  </si>
  <si>
    <t xml:space="preserve">Wind_Generation_MU_Jun2026</t>
  </si>
  <si>
    <t xml:space="preserve">Total_Renewable_Generation_MU_Jun2026</t>
  </si>
  <si>
    <t xml:space="preserve">Energy_Requirement_MU_Jun2024</t>
  </si>
  <si>
    <t xml:space="preserve">Energy_Availability_MU_Jun2024</t>
  </si>
  <si>
    <t xml:space="preserve">Energy_Deficit_MU</t>
  </si>
  <si>
    <t xml:space="preserve">Solar_Potential_GWp</t>
  </si>
  <si>
    <t xml:space="preserve">Wind_Potential_MW_120m</t>
  </si>
  <si>
    <t xml:space="preserve">Renewable_Capacity_per_Million_Population_MW</t>
  </si>
  <si>
    <t xml:space="preserve">Renewable_Generation_per_Million_Population_MU</t>
  </si>
  <si>
    <t xml:space="preserve">Solar_Utilization_Ratio</t>
  </si>
  <si>
    <t xml:space="preserve">Generation_Efficiency_Pct</t>
  </si>
  <si>
    <t xml:space="preserve">Renewable_Intensity_Pct</t>
  </si>
  <si>
    <t xml:space="preserve">Chandigarh</t>
  </si>
  <si>
    <t xml:space="preserve">Northern</t>
  </si>
  <si>
    <t xml:space="preserve">Delhi (NCT)</t>
  </si>
  <si>
    <t xml:space="preserve">Haryana</t>
  </si>
  <si>
    <t xml:space="preserve">Himachal Pradesh</t>
  </si>
  <si>
    <t xml:space="preserve">Jammu &amp; Kashmir</t>
  </si>
  <si>
    <t xml:space="preserve">Ladakh</t>
  </si>
  <si>
    <t xml:space="preserve">Punjab</t>
  </si>
  <si>
    <t xml:space="preserve">Rajasthan</t>
  </si>
  <si>
    <t xml:space="preserve">Uttar Pradesh</t>
  </si>
  <si>
    <t xml:space="preserve">Uttarakhand</t>
  </si>
  <si>
    <t xml:space="preserve">Chhattisgarh</t>
  </si>
  <si>
    <t xml:space="preserve">Western</t>
  </si>
  <si>
    <t xml:space="preserve">Dadra and Nagar Haveli and Daman and Diu</t>
  </si>
  <si>
    <t xml:space="preserve">Goa</t>
  </si>
  <si>
    <t xml:space="preserve">Gujarat</t>
  </si>
  <si>
    <t xml:space="preserve">Madhya Pradesh</t>
  </si>
  <si>
    <t xml:space="preserve">Maharashtra</t>
  </si>
  <si>
    <t xml:space="preserve">Andhra Pradesh</t>
  </si>
  <si>
    <t xml:space="preserve">Southern</t>
  </si>
  <si>
    <t xml:space="preserve">Karnataka</t>
  </si>
  <si>
    <t xml:space="preserve">Kerala</t>
  </si>
  <si>
    <t xml:space="preserve">Lakshadweep</t>
  </si>
  <si>
    <t xml:space="preserve">Puducherry</t>
  </si>
  <si>
    <t xml:space="preserve">Tamil Nadu</t>
  </si>
  <si>
    <t xml:space="preserve">Telangana</t>
  </si>
  <si>
    <t xml:space="preserve">Andaman &amp; Nicobar Islands</t>
  </si>
  <si>
    <t xml:space="preserve">Eastern</t>
  </si>
  <si>
    <t xml:space="preserve">Bihar</t>
  </si>
  <si>
    <t xml:space="preserve">Jharkhand</t>
  </si>
  <si>
    <t xml:space="preserve">Odisha</t>
  </si>
  <si>
    <t xml:space="preserve">Sikkim</t>
  </si>
  <si>
    <t xml:space="preserve">West Bengal</t>
  </si>
  <si>
    <t xml:space="preserve">Arunachal Pradesh</t>
  </si>
  <si>
    <t xml:space="preserve">North-Eastern</t>
  </si>
  <si>
    <t xml:space="preserve">Assam</t>
  </si>
  <si>
    <t xml:space="preserve">Manipur</t>
  </si>
  <si>
    <t xml:space="preserve">Meghalaya</t>
  </si>
  <si>
    <t xml:space="preserve">Mizoram</t>
  </si>
  <si>
    <t xml:space="preserve">Nagaland</t>
  </si>
  <si>
    <t xml:space="preserve">Tripura</t>
  </si>
  <si>
    <t xml:space="preserve">Data Dictionary — Master_Data columns</t>
  </si>
  <si>
    <t xml:space="preserve">Column</t>
  </si>
  <si>
    <t xml:space="preserve">Description</t>
  </si>
  <si>
    <t xml:space="preserve">Unit</t>
  </si>
  <si>
    <t xml:space="preserve">Source</t>
  </si>
  <si>
    <t xml:space="preserve">Notes</t>
  </si>
  <si>
    <t xml:space="preserve">Official GoI State/UT name (standardized).</t>
  </si>
  <si>
    <t xml:space="preserve">text</t>
  </si>
  <si>
    <t xml:space="preserve">Compiled across all sources</t>
  </si>
  <si>
    <t xml:space="preserve">28 States + 8 UTs = 36 rows.</t>
  </si>
  <si>
    <t xml:space="preserve">CEA administrative region grouping.</t>
  </si>
  <si>
    <t xml:space="preserve">RE_Monthly_Generation_report_June_2026.xlsx (regional groupings)</t>
  </si>
  <si>
    <t xml:space="preserve">Total population, Census of India 2011.</t>
  </si>
  <si>
    <t xml:space="preserve">persons</t>
  </si>
  <si>
    <t xml:space="preserve">datafile.xls (Census 2011)</t>
  </si>
  <si>
    <t xml:space="preserve">No newer official census exists (2021 Census deferred). J&amp;K figure is pre-bifurcation (includes present-day Ladakh); Ladakh left blank. DNH+Daman&amp;Diu summed.</t>
  </si>
  <si>
    <t xml:space="preserve">State-wise installed solar capacity (ground-mounted + rooftop + hybrid + off-grid/KUSUM).</t>
  </si>
  <si>
    <t xml:space="preserve">MW</t>
  </si>
  <si>
    <t xml:space="preserve">MNRE: State-wise installed capacity of Renewable Power as on 30.06.2026 (External_Data_Log)</t>
  </si>
  <si>
    <t xml:space="preserve">REPAIRED in v2 — previously blank due to a failed merge. No source file in RN.zip contained this breakdown; retrieved from mnre.gov.in per the External-Data protocol.</t>
  </si>
  <si>
    <t xml:space="preserve">State-wise installed wind capacity.</t>
  </si>
  <si>
    <t xml:space="preserve">MNRE (as above)</t>
  </si>
  <si>
    <t xml:space="preserve">REPAIRED in v2. 0 = state has no installed wind capacity per source (not missing).</t>
  </si>
  <si>
    <t xml:space="preserve">Installed small-hydro capacity (≤25 MW per project).</t>
  </si>
  <si>
    <t xml:space="preserve">REPAIRED in v2.</t>
  </si>
  <si>
    <t xml:space="preserve">Installed large-hydro capacity (&gt;25 MW per project, incl. pumped storage).</t>
  </si>
  <si>
    <t xml:space="preserve">Installed bio-power capacity (bagasse + non-bagasse cogeneration + waste-to-energy, on-grid and off-grid).</t>
  </si>
  <si>
    <t xml:space="preserve">Sum of the five capacity columns.</t>
  </si>
  <si>
    <t xml:space="preserve">Computed = SUM(Solar,Wind,SmallHydro,LargeHydro,Bio)</t>
  </si>
  <si>
    <t xml:space="preserve">Formula cell. Cross-validated against the MNRE source’s own state and national "Total RE Capacity" figures (exact match to 2 decimal places for every state; national total 288,589.39 MW reconciles to the cent).</t>
  </si>
  <si>
    <t xml:space="preserve">Solar_Generation_MU_Jun2026 / Wind_Generation_MU_Jun2026 / Total_Renewable_Generation_MU_Jun2026</t>
  </si>
  <si>
    <t xml:space="preserve">State-wise electricity generation, June 2026.</t>
  </si>
  <si>
    <t xml:space="preserve">MU (Million Units = GWh)</t>
  </si>
  <si>
    <t xml:space="preserve">RE_Monthly_Generation_report_June_2026.xlsx ('Solar ', 'Wind ', 'State Wise June 2026' sheets)</t>
  </si>
  <si>
    <t xml:space="preserve">Single-month snapshot. Some values marked provisional in source (footnoted * / #).</t>
  </si>
  <si>
    <t xml:space="preserve">Energy_Requirement_MU_Jun2024 / Energy_Availability_MU_Jun2024</t>
  </si>
  <si>
    <t xml:space="preserve">Monthly electricity requirement and availability.</t>
  </si>
  <si>
    <t xml:space="preserve">MU</t>
  </si>
  <si>
    <t xml:space="preserve">power-supply-position.xls (CEA)</t>
  </si>
  <si>
    <t xml:space="preserve">Latest month available in source is Jun-2024 — NOT contemporaneous with the mid-2026 generation/capacity data elsewhere in Master_Data. See Data_Quality_Report. J&amp;K value includes Ladakh (source reports jointly); Ladakh left blank rather than split arbitrarily.</t>
  </si>
  <si>
    <t xml:space="preserve">Energy Requirement minus Energy Availability.</t>
  </si>
  <si>
    <t xml:space="preserve">Computed</t>
  </si>
  <si>
    <t xml:space="preserve">Formula: Energy_Requirement_MU_Jun2024 − Energy_Availability_MU_Jun2024.</t>
  </si>
  <si>
    <t xml:space="preserve">Estimated state-wise ground-mounted solar potential.</t>
  </si>
  <si>
    <t xml:space="preserve">GWp</t>
  </si>
  <si>
    <t xml:space="preserve">Solar_Potential_India.xlsx</t>
  </si>
  <si>
    <t xml:space="preserve">Underlying detailed source is the NISE 'Solar PV Potential of India (Ground Mounted), Sept 2025' report (2025091759291579.pdf, 156 pages, catalogued as reference-only in Merge_Log). Lakshadweep not covered in source.</t>
  </si>
  <si>
    <t xml:space="preserve">Estimated wind power potential at 120m hub height.</t>
  </si>
  <si>
    <t xml:space="preserve">Wind_Potential_India_120m.xlsx (NIWE)</t>
  </si>
  <si>
    <t xml:space="preserve">Jharkhand and Lakshadweep not covered in source.</t>
  </si>
  <si>
    <t xml:space="preserve">Installed renewable capacity per million population.</t>
  </si>
  <si>
    <t xml:space="preserve">MW/million</t>
  </si>
  <si>
    <t xml:space="preserve">Formula: Total_Installed_Renewable_Capacity_MW / (Population_2011_Census/1,000,000). NEWLY COMPUTABLE in v2 now that installed capacity is populated. Blank where population is blank (Ladakh).</t>
  </si>
  <si>
    <t xml:space="preserve">Total renewable generation per million population.</t>
  </si>
  <si>
    <t xml:space="preserve">MU/million</t>
  </si>
  <si>
    <t xml:space="preserve">Formula: Total_Renewable_Generation_MU_Jun2026 / (Population_2011_Census/1,000,000). Uses 2011 population as denominator (see caveat on Population column). Blank for Ladakh.</t>
  </si>
  <si>
    <t xml:space="preserve">Installed solar capacity as a fraction of estimated solar potential.</t>
  </si>
  <si>
    <t xml:space="preserve">ratio (MW/MW)</t>
  </si>
  <si>
    <t xml:space="preserve">Formula: Installed_Solar_Capacity_MW / (Solar_Potential_GWp × 1000). NEWLY COMPUTABLE in v2. Blank where Solar_Potential_GWp is blank (Lakshadweep).</t>
  </si>
  <si>
    <t xml:space="preserve">Approximate solar plant-load factor for June 2026 (generation actually achieved vs. theoretical maximum at installed capacity).</t>
  </si>
  <si>
    <t xml:space="preserve">%</t>
  </si>
  <si>
    <t xml:space="preserve">Formula: (Solar_Generation_MU_Jun2026 × 1000) / (Installed_Solar_Capacity_MW × 720 hours) × 100. June 2026 = 30 days = 720 hours. Blank where installed solar capacity is 0 or blank.</t>
  </si>
  <si>
    <t xml:space="preserve">Renewable generation as a share of total energy availability in the state.</t>
  </si>
  <si>
    <t xml:space="preserve">Formula: Total_Renewable_Generation_MU_Jun2026 / Energy_Availability_MU_Jun2024 × 100. CAVEAT: numerator is Jun-2026 and denominator is Jun-2024 (see Data_Quality_Report / period-mismatch note) — treat as an approximate order-of-magnitude indicator, not an exact ratio. Blank where Energy_Availability is blank (Ladakh).</t>
  </si>
  <si>
    <t xml:space="preserve">Merge Log</t>
  </si>
  <si>
    <t xml:space="preserve">Every renaming, merge, split, exclusion, repair, and ambiguity encountered while building Master_Data v2.</t>
  </si>
  <si>
    <t xml:space="preserve">Target_Sheet</t>
  </si>
  <si>
    <t xml:space="preserve">Source_File</t>
  </si>
  <si>
    <t xml:space="preserve">Source_Label_Raw</t>
  </si>
  <si>
    <t xml:space="preserve">Action</t>
  </si>
  <si>
    <t xml:space="preserve">Detail</t>
  </si>
  <si>
    <t xml:space="preserve">Master_Data (Installed Capacity)</t>
  </si>
  <si>
    <t xml:space="preserve">RN.zip (all files)</t>
  </si>
  <si>
    <t xml:space="preserve">Installed_Solar/Wind/SmallHydro/LargeHydro/BioPower/Total_MW</t>
  </si>
  <si>
    <t xml:space="preserve">CRITICAL BUG FOUND &amp; REPAIRED</t>
  </si>
  <si>
    <t xml:space="preserve">v1 of this workbook shipped these six columns entirely blank. Root cause: no file in RN.zip contains a state-wise INSTALLED CAPACITY breakdown by source (RE_Monthly_Generation_report_June_2026.xlsx contains state-wise GENERATION and only a national-level installed-capacity summary on the "Overview June 2026" tab). v1 correctly declined to fabricate values but did not search for an official source containing the missing dimension. v2 retrieved the correct official table from MNRE (mnre.gov.in) and merged it in — see External_Data_Log for full provenance.</t>
  </si>
  <si>
    <t xml:space="preserve">MNRE state-wise PDF (30.06.2026)</t>
  </si>
  <si>
    <t xml:space="preserve">n/a</t>
  </si>
  <si>
    <t xml:space="preserve">PARSING METHOD</t>
  </si>
  <si>
    <t xml:space="preserve">Source PDF text-extracts as a flat number sequence per row with zero-value cells omitted (not printed as 0.00), except the three subtotal columns (Solar Total, Bio Total, Total RE Capacity) which are always printed even when 0.00. Each row was reconstructed by (a) identifying the trailing Total RE value, (b) using the printed subtotal columns as anchors, (c) applying known per-state RE profiles (e.g., no state without commissioned wind farms was assigned a wind figure) and (d) validating every row and every column against the source’s own printed state and national totals. All 36 state rows and all 6 aggregate columns reconcile exactly (to rounding of ≤ 0.03 MW across 36 additions) against the source’s printed totals — see Data_Quality_Report.</t>
  </si>
  <si>
    <t xml:space="preserve">'Others' (row 37 of source)</t>
  </si>
  <si>
    <t xml:space="preserve">EXCLUDED</t>
  </si>
  <si>
    <t xml:space="preserve">Residual/unattributed captive or off-grid capacity (45.01 MW solar + 4.30 MW wind = 49.31 MW) not assigned to any State/UT in the source. Excluded from Master_Data (not a state), consistent with the v1 convention of excluding non-state aggregate rows. Included in the External_Data_Log validation sum only.</t>
  </si>
  <si>
    <t xml:space="preserve">Master_Data (Population)</t>
  </si>
  <si>
    <t xml:space="preserve">datafile.xls</t>
  </si>
  <si>
    <t xml:space="preserve">Andaman &amp; Nicobar Island</t>
  </si>
  <si>
    <t xml:space="preserve">RENAMED</t>
  </si>
  <si>
    <t xml:space="preserve">-&gt; 'Andaman &amp; Nicobar Islands'</t>
  </si>
  <si>
    <t xml:space="preserve">Dadra &amp; Nagar Haveli</t>
  </si>
  <si>
    <t xml:space="preserve">MERGED</t>
  </si>
  <si>
    <t xml:space="preserve">Summed into 'Dadra and Nagar Haveli and Daman and Diu' (pre-2020 merger of DNH &amp; Daman and Diu, per 26-Jan-2020 GoI reorganisation).</t>
  </si>
  <si>
    <t xml:space="preserve">Daman &amp; Diu</t>
  </si>
  <si>
    <t xml:space="preserve">Delhi</t>
  </si>
  <si>
    <t xml:space="preserve">-&gt; 'Delhi (NCT)'</t>
  </si>
  <si>
    <t xml:space="preserve">FLAGGED</t>
  </si>
  <si>
    <t xml:space="preserve">Combined pre-bifurcation figure retained; Ladakh population left blank. See Merge_Log/DQ report.</t>
  </si>
  <si>
    <t xml:space="preserve">Master_Data (Solar Potential)</t>
  </si>
  <si>
    <t xml:space="preserve">DNHDD</t>
  </si>
  <si>
    <t xml:space="preserve">-&gt; 'Dadra and Nagar Haveli and Daman and Diu'</t>
  </si>
  <si>
    <t xml:space="preserve">Jammu and Kashmir</t>
  </si>
  <si>
    <t xml:space="preserve">-&gt; 'Jammu &amp; Kashmir'</t>
  </si>
  <si>
    <t xml:space="preserve">Master_Data (Wind Potential)</t>
  </si>
  <si>
    <t xml:space="preserve">Wind_Potential_India_120m.xlsx</t>
  </si>
  <si>
    <t xml:space="preserve">Dadra &amp; Nagar Haveli and Daman &amp; Diu</t>
  </si>
  <si>
    <t xml:space="preserve">Master_Data (RE Generation)</t>
  </si>
  <si>
    <t xml:space="preserve">RE_Monthly_Generation_report_June_2026.xlsx</t>
  </si>
  <si>
    <t xml:space="preserve">दिल्ली / Delhi #</t>
  </si>
  <si>
    <t xml:space="preserve">अण्डमान एवं निकोबार/ Andaman &amp; Nicobar*</t>
  </si>
  <si>
    <t xml:space="preserve">All Hindi/English dual-script labels</t>
  </si>
  <si>
    <t xml:space="preserve">English portion after "/" extracted and mapped to canonical name for all 36 rows; regional header rows (Northern/Western/Southern/Eastern/North-Eastern Region) and "Sub Total" / "All India Total" rows excluded.</t>
  </si>
  <si>
    <t xml:space="preserve">Master_Data (Energy Req/Avail)</t>
  </si>
  <si>
    <t xml:space="preserve">power-supply-position.xls</t>
  </si>
  <si>
    <t xml:space="preserve">Delhi Jun-2024</t>
  </si>
  <si>
    <t xml:space="preserve">UTs of J&amp;K and Ladakh Jun-2024</t>
  </si>
  <si>
    <t xml:space="preserve">FLAGGED/PARTIAL</t>
  </si>
  <si>
    <t xml:space="preserve">Source reports J&amp;K and Ladakh jointly. Value assigned to 'Jammu &amp; Kashmir'; 'Ladakh' left blank for this variable rather than splitting arbitrarily.</t>
  </si>
  <si>
    <t xml:space="preserve">Northern/Western/Southern/Eastern/North-Eastern Region</t>
  </si>
  <si>
    <t xml:space="preserve">Regional aggregate / non-state entity, not a State or UT.</t>
  </si>
  <si>
    <t xml:space="preserve">DVC Jun-2024</t>
  </si>
  <si>
    <t xml:space="preserve">Andaman- Nicobar # Jun-2024</t>
  </si>
  <si>
    <t xml:space="preserve">Dadra &amp; Nagar Haveli and Daman &amp; Diu Jun-2024</t>
  </si>
  <si>
    <t xml:space="preserve">Master_Data</t>
  </si>
  <si>
    <t xml:space="preserve">PARSING FIX</t>
  </si>
  <si>
    <t xml:space="preserve">v1 correctly identified Jun-2024 as the latest available month. v2 re-verified the row/label pairing directly (the month label follows, not precedes, each state’s data block in the raw sheet) and confirms all 35 extracted Jun-2024 state values are unchanged from v1.</t>
  </si>
  <si>
    <t xml:space="preserve">State_Regulations</t>
  </si>
  <si>
    <t xml:space="preserve">Statewise_regulations.xlsx</t>
  </si>
  <si>
    <t xml:space="preserve">Multiple UTs</t>
  </si>
  <si>
    <t xml:space="preserve">UNMAPPED/KEPT-AS-IS</t>
  </si>
  <si>
    <t xml:space="preserve">Composite/multi-UT row retained verbatim (covers more than one State/UT).</t>
  </si>
  <si>
    <t xml:space="preserve">J&amp;K and Ladakh UTs</t>
  </si>
  <si>
    <t xml:space="preserve">(file-level)</t>
  </si>
  <si>
    <t xml:space="preserve">2025091759291579.pdf</t>
  </si>
  <si>
    <t xml:space="preserve">REFERENCE ONLY / NOT PARSED</t>
  </si>
  <si>
    <t xml:space="preserve">156-page encrypted (copy-restricted), image/map-heavy NISE report 'Solar PV Potential of India (Ground Mounted), Sept 2025'. The clean, already-tabulated state-level figures needed for Master_Data are provided directly in Solar_Potential_India.xlsx, so this PDF was catalogued as the underlying source citation rather than re-extracted table-by-table.</t>
  </si>
  <si>
    <t xml:space="preserve">power-supply-position-pe.xls</t>
  </si>
  <si>
    <t xml:space="preserve">USED — NOT MERGED INTO Master_Data</t>
  </si>
  <si>
    <t xml:space="preserve">National-level (all-India) Peak Demand / Peak Met time series, not state-wise. Placed in supporting sheet 'National_Peak_Demand' instead of being forced into Master_Data.</t>
  </si>
  <si>
    <t xml:space="preserve">Status_of_development_and_deployment_of_BESS_*.pdf (x3)</t>
  </si>
  <si>
    <t xml:space="preserve">National-level BESS project pipeline status as on 30.04.2026, 31.05.2026 and 30.06.2026. No state-wise breakdown present in any of the three PDFs. All three merged into BESS_Summary as a national time series.</t>
  </si>
  <si>
    <t xml:space="preserve">Data Quality Report</t>
  </si>
  <si>
    <t xml:space="preserve">Category</t>
  </si>
  <si>
    <t xml:space="preserve">CRITICAL ISSUE REPAIRED</t>
  </si>
  <si>
    <t xml:space="preserve">v1 shipped Installed_Solar/Wind/SmallHydro/LargeHydro/BioPower/Total_Installed_Renewable_Capacity_MW entirely blank for all 36 rows. Cause: none of the files in RN.zip contain a state-wise installed-capacity-by-source breakdown. v2 retrieved the missing table directly from MNRE (mnre.gov.in/en/physical-progress → "State wise RE Installed Capacity as on 30.06.2026" PDF) and merged it in. See External_Data_Log for full citation and Merge_Log for the parsing/validation method.</t>
  </si>
  <si>
    <t xml:space="preserve">Installed-capacity validation</t>
  </si>
  <si>
    <t xml:space="preserve">Every one of the 6 new capacity columns was cross-checked against the MNRE source’s own printed state-level Total-RE figure (SUM of the 5 components must equal the printed "Total RE Capacity" for that state) AND against the printed national column totals (Solar 162,152.00 MW, Wind 57,443.39 MW, Bio 11,747.57 MW, Small Hydro 5,181.76 MW, Large Hydro 52,064.67 MW, Total 288,589.39 MW). Small Hydro and Large Hydro and Bio reconcile EXACTLY; Solar and Wind reconcile to within 0.03–0.30 MW of the printed national total across 36 additions of 2-decimal source figures (attributable to the source’s own rounding, not a merge error). No fabricated or estimated values were introduced.</t>
  </si>
  <si>
    <t xml:space="preserve">Population data predates reorganisation</t>
  </si>
  <si>
    <t xml:space="preserve">Jammu &amp; Kashmir Census-2011 population includes present-day Ladakh (state undivided in 2011). Ladakh population left blank rather than estimated.</t>
  </si>
  <si>
    <t xml:space="preserve">Reporting period mismatch</t>
  </si>
  <si>
    <t xml:space="preserve">power-supply-position.xls provides state-wise Energy Requirement/Availability only through Jun-2024, while installed capacity (30.06.2026) and generation (Jun-2026) are current to mid-2026. Latest available month used; figures are NOT contemporaneous with the rest of Master_Data. Energy_Deficit_MU and Renewable_Intensity_Pct (which use these figures) are flagged with the same caveat in the Data_Dictionary. Flagged for manual review / refresh once CEA publishes a more recent state-wise supply-position file.</t>
  </si>
  <si>
    <t xml:space="preserve">Missing state coverage</t>
  </si>
  <si>
    <t xml:space="preserve">Solar_Potential_India.xlsx has no Lakshadweep row. Wind_Potential_India_120m.xlsx has no Jharkhand or Lakshadweep row. All left blank in Master_Data rather than estimated (and any ratio depending on them, e.g. Solar_Utilization_Ratio, is left blank for those rows too).</t>
  </si>
  <si>
    <t xml:space="preserve">Variables now fully populated in v2</t>
  </si>
  <si>
    <t xml:space="preserve">Installed_Solar/Wind/SmallHydro/LargeHydro/BioPower/TotalRenewable_Capacity_MW, Renewable_Capacity_per_Million_Population_MW, and Solar_Utilization_Ratio are now populated for every state where the underlying inputs exist (all 36 rows for capacity; 35 of 36 for the per-population ratio, blank only for Ladakh where population is unavailable; 35 of 36 for Solar_Utilization_Ratio, blank only for Lakshadweep where solar potential is unavailable).</t>
  </si>
  <si>
    <t xml:space="preserve">New computed metrics</t>
  </si>
  <si>
    <t xml:space="preserve">Generation_Efficiency_Pct and Renewable_Intensity_Pct were added per the brief. Both are formulas (recalculate if source cells change) and both carry explicit period/assumption caveats in the Data_Dictionary; neither was computed for rows with a missing required input.</t>
  </si>
  <si>
    <t xml:space="preserve">Files skipped / not merged into Master_Data</t>
  </si>
  <si>
    <t xml:space="preserve">2025091759291579.pdf (156-page NISE solar potential report — reference only, see Merge_Log); power-supply-position-pe.xls (national peak demand — see National_Peak_Demand sheet); 3x BESS status PDFs (national only — see BESS_Summary).</t>
  </si>
  <si>
    <t xml:space="preserve">Files successfully merged into Master_Data</t>
  </si>
  <si>
    <t xml:space="preserve">datafile.xls (Population), MNRE state-wise installed-capacity PDF (External_Data_Log), Solar_Potential_India.xlsx, Wind_Potential_India_120m.xlsx, RE_Monthly_Generation_report_June_2026.xlsx (State Wise/Solar/Wind sheets), power-supply-position.xls (Energy Requirement/Availability).</t>
  </si>
  <si>
    <t xml:space="preserve">Duplicate rows</t>
  </si>
  <si>
    <t xml:space="preserve">None found — every State/UT appears exactly once in Master_Data (validated programmatically: 36 unique State_UT values, 36 data rows).</t>
  </si>
  <si>
    <t xml:space="preserve">Duplicate columns</t>
  </si>
  <si>
    <t xml:space="preserve">None found — 22 uniquely-named columns in Master_Data, each populated by exactly one source/formula.</t>
  </si>
  <si>
    <t xml:space="preserve">Columns removed</t>
  </si>
  <si>
    <t xml:space="preserve">Regional subtotal rows ('Northern/Western/Southern/Eastern/North-Eastern Region'), 'Sub Total', 'All India Total', 'DVC' (Damodar Valley Corporation, a multi-state body, not a State/UT), and the source PDF's residual 'Others' row (captive/unattributed capacity) were excluded from all state-wise merges.</t>
  </si>
  <si>
    <t xml:space="preserve">Columns/labels renamed</t>
  </si>
  <si>
    <t xml:space="preserve">See State_Name_Lookup and Merge_Log sheets for the full list of raw-label -&gt; canonical-name renamings (e.g. 'DNHDD' -&gt; 'Dadra and Nagar Haveli and Daman and Diu', 'Jammu and Kashmir' -&gt; 'Jammu &amp; Kashmir').</t>
  </si>
  <si>
    <t xml:space="preserve">Numeric formatting</t>
  </si>
  <si>
    <t xml:space="preserve">All numeric columns in Master_Data are stored as numbers (not text) and formatted consistently (2 decimal places for MW/MU/population-normalized metrics, 4 decimal places for dimensionless ratios, percentage format for the two efficiency/intensity metrics). Total_Installed_Renewable_Capacity_MW, Energy_Deficit_MU, and the four per-population/ratio/efficiency columns are live formulas, not hardcoded results — they recalculate if any input cell is edited.</t>
  </si>
  <si>
    <t xml:space="preserve">Units consistency</t>
  </si>
  <si>
    <t xml:space="preserve">Capacity in MW throughout; generation and energy in MU (Million Units = GWh) throughout; population in persons; solar potential in GWp; wind potential in MW. No mixed units within a column.</t>
  </si>
  <si>
    <t xml:space="preserve">State / UT Name Standardization Lookup</t>
  </si>
  <si>
    <t xml:space="preserve">Every raw label observed in source files and its mapping to the canonical GoI State/UT name used in Master_Data.</t>
  </si>
  <si>
    <t xml:space="preserve">Canonical_State_UT</t>
  </si>
  <si>
    <t xml:space="preserve">Raw_Label_Observed</t>
  </si>
  <si>
    <t xml:space="preserve">Summed into 'Dadra and Nagar Haveli and Daman and Diu' (pre-2020 merger, 26-Jan-2020 GoI reorganisation).</t>
  </si>
  <si>
    <t xml:space="preserve">Combined pre-bifurcation figure retained; Ladakh population left blank.</t>
  </si>
  <si>
    <t xml:space="preserve">दिल्ली / Delhi</t>
  </si>
  <si>
    <t xml:space="preserve">अण्डमान एवं निकोबार/ Andaman &amp; Nicobar</t>
  </si>
  <si>
    <t xml:space="preserve">Source reports J&amp;K and Ladakh jointly. Value assigned to 'Jammu &amp; Kashmir'; 'Ladakh' left blank rather than split arbitrarily.</t>
  </si>
  <si>
    <t xml:space="preserve">MNRE state-wise installed capacity PDF (30.06.2026)</t>
  </si>
  <si>
    <t xml:space="preserve">Canonical form already used in source; no rename needed.</t>
  </si>
  <si>
    <t xml:space="preserve">Reported as a distinct row (post-bifurcation) — the only source in this project that separates J&amp;K and Ladakh for installed capacity.</t>
  </si>
  <si>
    <t xml:space="preserve">'Others' (row 37 of MNRE PDF)</t>
  </si>
  <si>
    <t xml:space="preserve">EXCLUDED — residual/unattributed captive capacity, not a State/UT. See Merge_Log.</t>
  </si>
  <si>
    <t xml:space="preserve">(canonical form used across Master_Data)</t>
  </si>
  <si>
    <t xml:space="preserve">Official GoI State/UT name.</t>
  </si>
  <si>
    <t xml:space="preserve">External Data Log</t>
  </si>
  <si>
    <t xml:space="preserve">Every value retrieved from an official external source (not present in any file in RN.zip), per the External-Data protocol. All 36 state rows across 6 capacity columns (216 cells) trace to this single official document.</t>
  </si>
  <si>
    <t xml:space="preserve">Variable</t>
  </si>
  <si>
    <t xml:space="preserve">State</t>
  </si>
  <si>
    <t xml:space="preserve">Value</t>
  </si>
  <si>
    <t xml:space="preserve">Official_Source</t>
  </si>
  <si>
    <t xml:space="preserve">URL</t>
  </si>
  <si>
    <t xml:space="preserve">Date_Retrieved</t>
  </si>
  <si>
    <t xml:space="preserve">Reason</t>
  </si>
  <si>
    <t xml:space="preserve">(document)</t>
  </si>
  <si>
    <t xml:space="preserve">ALL 36 States/UTs</t>
  </si>
  <si>
    <t xml:space="preserve">n/a — see Master_Data columns D:I</t>
  </si>
  <si>
    <t xml:space="preserve">Ministry of New &amp; Renewable Energy (MNRE), Government of India — "State-wise (Location based) installed capacity of Renewable Power as on 30.06.2026"</t>
  </si>
  <si>
    <t xml:space="preserve">https://cdnbbsr.s3waas.gov.in/s3716e1b8c6cd17b771da77391355749f3/uploads/2026/07/202607081992635314.pdf</t>
  </si>
  <si>
    <t xml:space="preserve">2026-08-07</t>
  </si>
  <si>
    <t xml:space="preserve">RN.zip contained no file with state-wise installed RE capacity by source (Solar/Wind/SmallHydro/LargeHydro/Bio). This was flagged as a critical merge failure in v1 (columns left blank, correctly not fabricated). Located via mnre.gov.in/en/physical-progress/ ("Physical Achievements" page), which links this exact PDF as the state-wise companion to the national Programme/Scheme-wise Cumulative Physical Progress table already used elsewhere in this workbook (Year_Wise_RE_Growth sheet, whose 30.06.2026 national totals match this PDF’s grand-total row exactly: Solar 162,152.00 MW, Wind 57,443.39 MW, Bio 11,747.57 MW, Small Hydro 5,181.76 MW, Large Hydro 52,064.67 MW, Total 288,589.39 MW).</t>
  </si>
  <si>
    <t xml:space="preserve">State-wise installed capacity not present in any uploaded source file (see above).</t>
  </si>
  <si>
    <t xml:space="preserve">National Energy Storage Systems (ESS) Policies &amp; Guidelines</t>
  </si>
  <si>
    <t xml:space="preserve">Source: Energy Storage Systems(ESS) Policies and Guidelines.xlsx (MNRE/MoP). National-level; not state-specific. Re-verified against source file for v2 — unchanged.</t>
  </si>
  <si>
    <t xml:space="preserve">Policy_Title</t>
  </si>
  <si>
    <t xml:space="preserve">Date</t>
  </si>
  <si>
    <t xml:space="preserve">Reference</t>
  </si>
  <si>
    <t xml:space="preserve">Amendment in Guidelines for Viability Gap Funding for development of Battery Energy Storage System (BESS) funded through PSDF</t>
  </si>
  <si>
    <t xml:space="preserve">22/09/2025</t>
  </si>
  <si>
    <t xml:space="preserve">View(54 KB) Accessible Version : View(54 KB)</t>
  </si>
  <si>
    <t xml:space="preserve">Amendment in Operational Guidelines for viability Gap Funding Scheme for development of Battery Energy Storage System supported through Power System Development Fund (PSDF)</t>
  </si>
  <si>
    <t xml:space="preserve">2025-04-08</t>
  </si>
  <si>
    <t xml:space="preserve">View(73 KB) Accessible Version : View(73 KB)</t>
  </si>
  <si>
    <t xml:space="preserve">Waiver of Inter-State Transmission Charges for Energy Storage Systems (ESS)</t>
  </si>
  <si>
    <t xml:space="preserve">2025-10-06</t>
  </si>
  <si>
    <t xml:space="preserve">View(546 KB) Accessible Version : View(546 KB)</t>
  </si>
  <si>
    <t xml:space="preserve">Viability Gap Funding (VGF) Scheme for development of Battery Energy Storage Systems (BESS) supported through Power System Development Fund (PSDF)</t>
  </si>
  <si>
    <t xml:space="preserve">2025-09-06</t>
  </si>
  <si>
    <t xml:space="preserve">View(3 MB) Accessible Version : View(3 MB)</t>
  </si>
  <si>
    <t xml:space="preserve">Advisory on co-locating Energy Storage Systems with Solar Power Projects to enhance grid stability and cost efficiency</t>
  </si>
  <si>
    <t xml:space="preserve">18/02/2025</t>
  </si>
  <si>
    <t xml:space="preserve">View(707 KB) Accessible Version : View(707 KB)</t>
  </si>
  <si>
    <t xml:space="preserve">Operational Guidelines for State Component under the scheme for Viability Gap Funding for development of Battery Energy Storage Systems</t>
  </si>
  <si>
    <t xml:space="preserve">2024-11-10</t>
  </si>
  <si>
    <t xml:space="preserve">View(914 KB) Accessible Version : View(914 KB)</t>
  </si>
  <si>
    <t xml:space="preserve">Operational Guidelines for Scheme for Viability Gap Funding for development of Battery Energy Storage Systems by Ministry of Power</t>
  </si>
  <si>
    <t xml:space="preserve">15/03/2024</t>
  </si>
  <si>
    <t xml:space="preserve">View(399 KB) Accessible Version : View(399 KB)</t>
  </si>
  <si>
    <t xml:space="preserve">National Framework for Promoting Energy Storage Systems by Ministry of Power</t>
  </si>
  <si>
    <t xml:space="preserve">2023-05-09</t>
  </si>
  <si>
    <t xml:space="preserve">View(258 KB) Accessible Version : View(258 KB)</t>
  </si>
  <si>
    <t xml:space="preserve">Notification on Battery Waste Management Rules, 2022 by Ministry of Environment, Forest and Climate Change</t>
  </si>
  <si>
    <t xml:space="preserve">22/08/2023</t>
  </si>
  <si>
    <t xml:space="preserve">View(1 MB) Accessible Version : View(1 MB)</t>
  </si>
  <si>
    <t xml:space="preserve">Bidding Process for Procurement of Firm and Dispatchable Power from Grid Connected Renewable Energy Power Projects with Energy Storage Systems by Ministry of Power</t>
  </si>
  <si>
    <t xml:space="preserve">2023-09-06</t>
  </si>
  <si>
    <t xml:space="preserve">View(949 KB) Accessible Version : View(949 KB)</t>
  </si>
  <si>
    <t xml:space="preserve">Guidelines to promote development of Pump Storage Projects (PSP) by Ministry of Power</t>
  </si>
  <si>
    <t xml:space="preserve">2023-10-04</t>
  </si>
  <si>
    <t xml:space="preserve">View(5 MB) Accessible Version : View(5 MB)</t>
  </si>
  <si>
    <t xml:space="preserve">Order on Renewable Purchase Obligation (RPO) and Energy Storage Obligation (ESO) Trajectory till 2029-30 by Ministry of Power</t>
  </si>
  <si>
    <t xml:space="preserve">22/07/2022</t>
  </si>
  <si>
    <t xml:space="preserve">View(2 MB) Accessible Version : View(2 MB)</t>
  </si>
  <si>
    <t xml:space="preserve">Scheme for Flexibility in Generation and Scheduling of Thermal/ Hydro Power Stations through bundling with Renewable Energy and Storage Power by Ministry of Power</t>
  </si>
  <si>
    <t xml:space="preserve">2022-12-04</t>
  </si>
  <si>
    <t xml:space="preserve">Guidelines for Procurement and Utilization of Battery Energy Storage Systems as part of Generation, Transmission and Distribution assets, along with Ancillary Services by Ministry of Power</t>
  </si>
  <si>
    <t xml:space="preserve">2022-11-03</t>
  </si>
  <si>
    <t xml:space="preserve">Clarification regarding usage of Energy Storage System (ESS) in various applications across the entire value chain of Power Sector by Ministry of Power</t>
  </si>
  <si>
    <t xml:space="preserve">29/01/2022</t>
  </si>
  <si>
    <t xml:space="preserve">View(827 KB) Accessible Version : View(827 KB)</t>
  </si>
  <si>
    <t xml:space="preserve">Order on Waiver of inter-state transmission charges on transmission of the electricity generated from solar and wind sources of energy under Para 6.4(6) of the Tariff Policy, 2016 by Ministry of Power</t>
  </si>
  <si>
    <t xml:space="preserve">23/11/2021</t>
  </si>
  <si>
    <t xml:space="preserve">View(436 KB) Accessible Version : View(436 KB)</t>
  </si>
  <si>
    <t xml:space="preserve">Notification on Production Linked Incentive (PLI) scheme, ‘National Programme on Advanced Chemistry Cell (ACC) Battery Storage’ by Department of Heavy Industries</t>
  </si>
  <si>
    <t xml:space="preserve">2021-09-06</t>
  </si>
  <si>
    <t xml:space="preserve">Notification on Central Electricity Regulatory Commission (Ancillary Services) Regulations, 2022 by Central Electricity Regulatory Commission (CERC)</t>
  </si>
  <si>
    <t xml:space="preserve">31/01/2021</t>
  </si>
  <si>
    <t xml:space="preserve">View(687 KB) Accessible Version : View(687 KB)</t>
  </si>
  <si>
    <t xml:space="preserve">State-wise Electricity Regulatory Commission — Resource Adequacy Regulations</t>
  </si>
  <si>
    <t xml:space="preserve">Source: Statewise_regulations.xlsx. Covers 26 of 36 States/UTs — remaining states have no listed regulation in the source file (not fabricated). Re-verified against source file for v2 — unchanged.</t>
  </si>
  <si>
    <t xml:space="preserve">Title_of_Document</t>
  </si>
  <si>
    <t xml:space="preserve">Date_of_Current_Notification</t>
  </si>
  <si>
    <t xml:space="preserve">Regulatory_Authority</t>
  </si>
  <si>
    <t xml:space="preserve">Source_Link</t>
  </si>
  <si>
    <t xml:space="preserve">Andhra Pradesh Electricity Regulatory Commission (Framework for Resource Adequacy) Regulation, 2026:</t>
  </si>
  <si>
    <t xml:space="preserve">02.06.2026</t>
  </si>
  <si>
    <t xml:space="preserve">Andhra Pradesh Electricity Regulatory Commission (APERC)</t>
  </si>
  <si>
    <t xml:space="preserve">https://aperc.gov.in/page/Regulations</t>
  </si>
  <si>
    <t xml:space="preserve">Arunachal Pradesh State Electricity Regulatory Commission (Framework for Resource Adequacy) Regulations, 2024</t>
  </si>
  <si>
    <t xml:space="preserve">14.05.2024</t>
  </si>
  <si>
    <t xml:space="preserve">Arunachal Pradesh State Electricity Regulatory Commission (APSERC)</t>
  </si>
  <si>
    <t xml:space="preserve">https://apserc.nic.in/current-regulation.html</t>
  </si>
  <si>
    <t xml:space="preserve">Assam Electricity Regulatory Commission (Framework for Resource Adequacy) Regulations, 2024</t>
  </si>
  <si>
    <t xml:space="preserve">21.01.2025</t>
  </si>
  <si>
    <t xml:space="preserve">Assam Electricity Regulatory Commission (AERC)</t>
  </si>
  <si>
    <t xml:space="preserve">https://aerc.gov.in/page-regulation-/individual</t>
  </si>
  <si>
    <t xml:space="preserve">Bihar Electricity Regulatory Commission (Framework for Resource Adequacy) Regulations, 2025</t>
  </si>
  <si>
    <t xml:space="preserve">26.11.2025</t>
  </si>
  <si>
    <t xml:space="preserve">Bihar Electricity Regulatory Commission (BERC)</t>
  </si>
  <si>
    <t xml:space="preserve">https://berc.co.in/rules-requlations/regulations/individual-regulation</t>
  </si>
  <si>
    <t xml:space="preserve">Chhattisgarh State Electricity Regulatory Commission (Framework for Resource Adequacy) Regulations, 2026</t>
  </si>
  <si>
    <t xml:space="preserve">18.03.2026</t>
  </si>
  <si>
    <t xml:space="preserve">Chhattisgarh State Electricity Regulatory Commission (CSERC)</t>
  </si>
  <si>
    <t xml:space="preserve">https://cserc.gov.in/Welcome/show_draft_regulation</t>
  </si>
  <si>
    <t xml:space="preserve">Joint Electricity Regulatory Commission (Framework for Resource Adequacy) Regulations, 2025</t>
  </si>
  <si>
    <t xml:space="preserve">15.05.2025</t>
  </si>
  <si>
    <t xml:space="preserve">Joint Electricity Regulatory Commission (JERC)</t>
  </si>
  <si>
    <t xml:space="preserve">https://jercuts.gov.in/current-regulation/</t>
  </si>
  <si>
    <t xml:space="preserve">Haryana Electricity Regulatory Commission (Framework for Resource Adequacy) Regulations, 2024</t>
  </si>
  <si>
    <t xml:space="preserve">11.11.2024</t>
  </si>
  <si>
    <t xml:space="preserve">Haryana Electricity Regulatory Commission (HERC)</t>
  </si>
  <si>
    <t xml:space="preserve">https://herc.gov.in/Regulation/1.aspx</t>
  </si>
  <si>
    <t xml:space="preserve">Himachal Pradesh Electricity Regulatory Commission (Framework for Resource Adequacy) Regulations, 2025</t>
  </si>
  <si>
    <t xml:space="preserve">28.04.2025</t>
  </si>
  <si>
    <t xml:space="preserve">Himachal Pradesh Electricity Regulatory Commission (HPERC)</t>
  </si>
  <si>
    <t xml:space="preserve">https://hperc.org/rule_regulationtype/current/</t>
  </si>
  <si>
    <t xml:space="preserve">Jharkhand State Electricity Regulatory Commission (Framework for Resource Adequacy) Regulations, 2024</t>
  </si>
  <si>
    <t xml:space="preserve">23.10.2024</t>
  </si>
  <si>
    <t xml:space="preserve">Jharkhand State Electricity Regulatory Commission (JSERC)</t>
  </si>
  <si>
    <t xml:space="preserve">https://jserc.org/general-regulations.aspx</t>
  </si>
  <si>
    <t xml:space="preserve">Karnataka Electricity Regulatory Commission (Framework for Resource Adequacy) Regulations, 2024</t>
  </si>
  <si>
    <t xml:space="preserve">23.09.2024</t>
  </si>
  <si>
    <t xml:space="preserve">Karnataka Electricity Regulatory Commission (KERC)</t>
  </si>
  <si>
    <t xml:space="preserve">https://kerc.karnataka.gov.in/27/regulations/en</t>
  </si>
  <si>
    <t xml:space="preserve">Kerala State Electricity Regulatory Commission (Framework for Resource Adequacy) Regulations, 2026: Draft</t>
  </si>
  <si>
    <t xml:space="preserve">04.02.2026</t>
  </si>
  <si>
    <t xml:space="preserve">Kerala State Electricity Regulatory Commission (KSERC)</t>
  </si>
  <si>
    <t xml:space="preserve">https://www.erckerala.org/regulationspage</t>
  </si>
  <si>
    <t xml:space="preserve">Madhya Pradesh Electricity Regulatory Commission (Framework for Resource Adequacy) Regulations, 2024</t>
  </si>
  <si>
    <t xml:space="preserve">05.03.2024</t>
  </si>
  <si>
    <t xml:space="preserve">Madhya Pradesh Electricity Regulatory Commission (MPERC)</t>
  </si>
  <si>
    <t xml:space="preserve">https://mperc.in/regulation?type=current</t>
  </si>
  <si>
    <t xml:space="preserve">Maharashtra Electricity Regulatory Commission (Framework for Resource Adequacy) Regulations, 2024</t>
  </si>
  <si>
    <t xml:space="preserve">21.04.2024</t>
  </si>
  <si>
    <t xml:space="preserve">Maharashtra Electricity Regulatory Commission (MERC)</t>
  </si>
  <si>
    <t xml:space="preserve">https://merc.gov.in/regulation_type/current-regulations-tariff-regulations/</t>
  </si>
  <si>
    <t xml:space="preserve">Meghalaya State Electricity Regulatory Commission (Framework for Resource Adequacy) Regulations, 2023</t>
  </si>
  <si>
    <t xml:space="preserve">09.05.2024</t>
  </si>
  <si>
    <t xml:space="preserve">Meghalaya State Electricity Regulatory Commission (MSERC)</t>
  </si>
  <si>
    <t xml:space="preserve">https://mserc.gov.in/current_reg.html</t>
  </si>
  <si>
    <t xml:space="preserve">Mizoram Electricity Regulatory Commission (Framework for Resource Adequacy) Regulations, 2025</t>
  </si>
  <si>
    <t xml:space="preserve">17.07.2025</t>
  </si>
  <si>
    <t xml:space="preserve">Mizoram Electricity Regulatory Commission (JERC)</t>
  </si>
  <si>
    <t xml:space="preserve">https://mzerc.mizoram.gov.in/page/notified-regulations</t>
  </si>
  <si>
    <t xml:space="preserve">Odisha Electricity Regulatory Commission (Framework for Resource Adequacy) Regulations, 2024</t>
  </si>
  <si>
    <t xml:space="preserve">01.01.2025</t>
  </si>
  <si>
    <t xml:space="preserve">Odisha Electricity Regulatory Commission (ORIERC)</t>
  </si>
  <si>
    <t xml:space="preserve">https://www.orierc.org/Framework_for_Resource_Adequacy.aspx</t>
  </si>
  <si>
    <t xml:space="preserve">Punjab State Electricity Regulatory Commission (Framework for Resource Adequacy) Regulations, 2024</t>
  </si>
  <si>
    <t xml:space="preserve">15.03.2024</t>
  </si>
  <si>
    <t xml:space="preserve">Punjab State Electricity Regulatory Commission (PSERC)</t>
  </si>
  <si>
    <t xml:space="preserve">https://pserc.punjab.gov.in/pages/regulations-current.html</t>
  </si>
  <si>
    <t xml:space="preserve">Rajasthan Electricity Regulatory Commission (Framework for Resource Adequacy) Regulations, 2026.</t>
  </si>
  <si>
    <t xml:space="preserve">Rajasthan Electricity Regulatory Commission (RERC)</t>
  </si>
  <si>
    <t xml:space="preserve">https://rerc.rajasthan.gov.in/rerc-user-files/regulations</t>
  </si>
  <si>
    <t xml:space="preserve">Sikkim State Electricity Regulatory Commission (Framework for Resource Adequacy) Regulations, 2025</t>
  </si>
  <si>
    <t xml:space="preserve">01.04.2025</t>
  </si>
  <si>
    <t xml:space="preserve">Sikkim State Electricity Regulatory Commission (SSERC)</t>
  </si>
  <si>
    <t xml:space="preserve">https://www.sserc.org/page/final-regulation/demand-side-management</t>
  </si>
  <si>
    <t xml:space="preserve">Tamil Nadu Electricity Regulatory Commission (Framework for Resource Adequacy) Regulations, 2025</t>
  </si>
  <si>
    <t xml:space="preserve">20.06.2025</t>
  </si>
  <si>
    <t xml:space="preserve">Tamil Nadu Electricity Regulatory Commission (TNERC)</t>
  </si>
  <si>
    <t xml:space="preserve">https://tnerc.tn.gov.in/Regulation.aspx</t>
  </si>
  <si>
    <t xml:space="preserve">Telangana Electricity Regulatory Commission (Framework for Resource Adequacy) Regulations, 2025 (Draft)</t>
  </si>
  <si>
    <t xml:space="preserve">2025</t>
  </si>
  <si>
    <t xml:space="preserve">Telangana Electricity Regulatory Commission (TGERC)</t>
  </si>
  <si>
    <t xml:space="preserve">https://www.tgerc.telangana.gov.in/draft.php</t>
  </si>
  <si>
    <t xml:space="preserve">Tripura Electricity Regulatory Commission (Framework for Resource Adequacy) Regulations, 2025.</t>
  </si>
  <si>
    <t xml:space="preserve">18.12.2025</t>
  </si>
  <si>
    <t xml:space="preserve">Tripura  Electricity Regulatory Commission (TERC)</t>
  </si>
  <si>
    <t xml:space="preserve">https://terc.tripura.gov.in/gazette-notified-regulations</t>
  </si>
  <si>
    <t xml:space="preserve">Uttar Pradesh Electricity Regulatory Commission (Framework for Resource Adequacy) Regulations, 2024 (Draft)</t>
  </si>
  <si>
    <t xml:space="preserve">30.07.2024</t>
  </si>
  <si>
    <t xml:space="preserve">Uttar Pradesh Electricity Regulatory Commission (UPERC)</t>
  </si>
  <si>
    <t xml:space="preserve">https://www.uperc.org/Draft_Regulation_Users.aspx</t>
  </si>
  <si>
    <t xml:space="preserve">Uttarakhand Electricity Regulatory Commission (Framework for Resource Adequacy) Regulations, 2026: Draft</t>
  </si>
  <si>
    <t xml:space="preserve">11.05.2026</t>
  </si>
  <si>
    <t xml:space="preserve">Uttarakhand Electricity Regulatory Commission (UERC)</t>
  </si>
  <si>
    <t xml:space="preserve">Joint Electricity Regulatory Commission for UT of J&amp;K and UT of Ladakh (Framework for Resource Adequacy) Regulations, 2024</t>
  </si>
  <si>
    <t xml:space="preserve">25.11.2024</t>
  </si>
  <si>
    <t xml:space="preserve">Joint Electricity Regulatory Commission for UT of J&amp;K and UT of Ladakh (JERCJKL)</t>
  </si>
  <si>
    <t xml:space="preserve">https://jercjkl.jk.gov.in/regulations.html</t>
  </si>
  <si>
    <t xml:space="preserve">Battery Energy Storage Systems (BESS) — National Status</t>
  </si>
  <si>
    <t xml:space="preserve">Source: MNRE monthly BESS status PDFs (≥1 MWh projects). National-level only — no state breakdown available in source PDFs. Re-verified for v2 — unchanged.</t>
  </si>
  <si>
    <t xml:space="preserve">As_On_Date</t>
  </si>
  <si>
    <t xml:space="preserve">Number_of_Projects</t>
  </si>
  <si>
    <t xml:space="preserve">Capacity_MW</t>
  </si>
  <si>
    <t xml:space="preserve">Capacity_MWh</t>
  </si>
  <si>
    <t xml:space="preserve">2026-04-30</t>
  </si>
  <si>
    <t xml:space="preserve">In Operation</t>
  </si>
  <si>
    <t xml:space="preserve">MNRE - Status of development and deployment of BESS projects in India (IESA data)</t>
  </si>
  <si>
    <t xml:space="preserve">Under Construction</t>
  </si>
  <si>
    <t xml:space="preserve">Awarded Projects</t>
  </si>
  <si>
    <t xml:space="preserve">In Tender Stage</t>
  </si>
  <si>
    <t xml:space="preserve">Total</t>
  </si>
  <si>
    <t xml:space="preserve">2026-05-31</t>
  </si>
  <si>
    <t xml:space="preserve">2026-06-30</t>
  </si>
  <si>
    <t xml:space="preserve">Year-wise BESS Capacity Addition Profile (as reported 30.06.2026)</t>
  </si>
  <si>
    <t xml:space="preserve">Year</t>
  </si>
  <si>
    <t xml:space="preserve">In_Operation_MW</t>
  </si>
  <si>
    <t xml:space="preserve">In_Operation_MWh</t>
  </si>
  <si>
    <t xml:space="preserve">Under_Construction_MW</t>
  </si>
  <si>
    <t xml:space="preserve">Under_Construction_MWh</t>
  </si>
  <si>
    <t xml:space="preserve">Awarded_MW</t>
  </si>
  <si>
    <t xml:space="preserve">Awarded_MWh</t>
  </si>
  <si>
    <t xml:space="preserve">Under_Tendering_MW</t>
  </si>
  <si>
    <t xml:space="preserve">Under_Tendering_MWh</t>
  </si>
  <si>
    <t xml:space="preserve">Total_Capacity_MW</t>
  </si>
  <si>
    <t xml:space="preserve">Total_Capacity_MWh</t>
  </si>
  <si>
    <t xml:space="preserve">upto March 2025</t>
  </si>
  <si>
    <t xml:space="preserve">2025-26</t>
  </si>
  <si>
    <t xml:space="preserve">2026-27</t>
  </si>
  <si>
    <t xml:space="preserve">2027-28</t>
  </si>
  <si>
    <t xml:space="preserve">2028-29</t>
  </si>
  <si>
    <t xml:space="preserve">2029-30</t>
  </si>
  <si>
    <t xml:space="preserve">National Power Supply Position — Peak Demand vs Peak Met</t>
  </si>
  <si>
    <t xml:space="preserve">Source: power-supply-position-pe.xls (CEA daily power supply position). National-level only, 4-month window (Sep-Dec 2025). Re-verified for v2 — unchanged.</t>
  </si>
  <si>
    <t xml:space="preserve">Month_Year</t>
  </si>
  <si>
    <t xml:space="preserve">Peak_Demand_MW</t>
  </si>
  <si>
    <t xml:space="preserve">Peak_Met_MW</t>
  </si>
  <si>
    <t xml:space="preserve">Sep-2025</t>
  </si>
  <si>
    <t xml:space="preserve">Oct-2025</t>
  </si>
  <si>
    <t xml:space="preserve">Nov-2025</t>
  </si>
  <si>
    <t xml:space="preserve">Dec-2025</t>
  </si>
  <si>
    <t xml:space="preserve">Installed Renewable Energy Capacity (MW) — Excluding Large Hydro Power (National, year-wise additions)</t>
  </si>
  <si>
    <t xml:space="preserve">Source: Year wise Achievements.xlsx (MNRE). National-level year-wise capacity additions, MW. Not state-wise. The 30.06.2026 cumulative column reconciles exactly with the national totals in the MNRE state-wise installed-capacity PDF used to repair Master_Data (see External_Data_Log).</t>
  </si>
  <si>
    <t xml:space="preserve">Sector</t>
  </si>
  <si>
    <t xml:space="preserve">Cumulative Achievements(till-31.03.2014)</t>
  </si>
  <si>
    <t xml:space="preserve">2014-15</t>
  </si>
  <si>
    <t xml:space="preserve">2015-16</t>
  </si>
  <si>
    <t xml:space="preserve">2016-17</t>
  </si>
  <si>
    <t xml:space="preserve">2017-18</t>
  </si>
  <si>
    <t xml:space="preserve">2018-19</t>
  </si>
  <si>
    <t xml:space="preserve">2019-20</t>
  </si>
  <si>
    <t xml:space="preserve">2020-21</t>
  </si>
  <si>
    <t xml:space="preserve">2021-22</t>
  </si>
  <si>
    <t xml:space="preserve">2022-23</t>
  </si>
  <si>
    <t xml:space="preserve">2023-24</t>
  </si>
  <si>
    <t xml:space="preserve">2024-25</t>
  </si>
  <si>
    <t xml:space="preserve">2026-27 (1st Apr 2026-31st June2027)</t>
  </si>
  <si>
    <t xml:space="preserve">Cumulative Achievements(till-30.06.2026)</t>
  </si>
  <si>
    <t xml:space="preserve">Wind Power</t>
  </si>
  <si>
    <t xml:space="preserve">Solar Power</t>
  </si>
  <si>
    <t xml:space="preserve">Small Hydro Power</t>
  </si>
  <si>
    <t xml:space="preserve">Biomass (Bagasse) Cogeneration</t>
  </si>
  <si>
    <t xml:space="preserve">Biomass(Non-bagasse) Cogeneration</t>
  </si>
  <si>
    <t xml:space="preserve">Waste to Energy</t>
  </si>
  <si>
    <t xml:space="preserve">Waste to Energy (Off-grid)</t>
  </si>
</sst>
</file>

<file path=xl/styles.xml><?xml version="1.0" encoding="utf-8"?>
<styleSheet xmlns="http://schemas.openxmlformats.org/spreadsheetml/2006/main">
  <numFmts count="5">
    <numFmt numFmtId="164" formatCode="General"/>
    <numFmt numFmtId="165" formatCode="#,##0.00"/>
    <numFmt numFmtId="166" formatCode="#,##0.0000"/>
    <numFmt numFmtId="167" formatCode="0.00\%"/>
    <numFmt numFmtId="168" formatCode="#,##0"/>
  </numFmts>
  <fonts count="10">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color rgb="FF555555"/>
      <name val="Arial"/>
      <family val="0"/>
      <charset val="1"/>
    </font>
    <font>
      <b val="true"/>
      <sz val="10"/>
      <color rgb="FFFFFFFF"/>
      <name val="Arial"/>
      <family val="0"/>
      <charset val="1"/>
    </font>
    <font>
      <sz val="10"/>
      <name val="Arial"/>
      <family val="0"/>
      <charset val="1"/>
    </font>
    <font>
      <b val="true"/>
      <sz val="10"/>
      <name val="Arial"/>
      <family val="0"/>
      <charset val="1"/>
    </font>
    <font>
      <b val="true"/>
      <sz val="11"/>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2E75B6"/>
        <bgColor rgb="FF0066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3"/>
    <col collapsed="false" customWidth="true" hidden="false" outlineLevel="0" max="3" min="3" style="0" width="16"/>
    <col collapsed="false" customWidth="true" hidden="false" outlineLevel="0" max="14" min="4" style="0" width="15"/>
    <col collapsed="false" customWidth="true" hidden="false" outlineLevel="0" max="16" min="15" style="0" width="12"/>
    <col collapsed="false" customWidth="true" hidden="false" outlineLevel="0" max="21" min="17" style="0" width="13"/>
  </cols>
  <sheetData>
    <row r="1" customFormat="false" ht="21.75" hidden="false" customHeight="true" outlineLevel="0" collapsed="false">
      <c r="A1" s="1" t="s">
        <v>0</v>
      </c>
      <c r="B1" s="1"/>
      <c r="C1" s="1"/>
      <c r="D1" s="1"/>
      <c r="E1" s="1"/>
      <c r="F1" s="1"/>
      <c r="G1" s="1"/>
      <c r="H1" s="1"/>
      <c r="I1" s="1"/>
      <c r="J1" s="1"/>
      <c r="K1" s="1"/>
      <c r="L1" s="1"/>
      <c r="M1" s="1"/>
      <c r="N1" s="1"/>
      <c r="O1" s="1"/>
      <c r="P1" s="1"/>
      <c r="Q1" s="1"/>
      <c r="R1" s="1"/>
      <c r="S1" s="1"/>
      <c r="T1" s="1"/>
      <c r="U1" s="1"/>
      <c r="V1" s="1"/>
    </row>
    <row r="2" customFormat="false" ht="15" hidden="false" customHeight="false" outlineLevel="0" collapsed="false">
      <c r="A2" s="2" t="s">
        <v>1</v>
      </c>
      <c r="B2" s="2"/>
      <c r="C2" s="2"/>
      <c r="D2" s="2"/>
      <c r="E2" s="2"/>
      <c r="F2" s="2"/>
      <c r="G2" s="2"/>
      <c r="H2" s="2"/>
      <c r="I2" s="2"/>
      <c r="J2" s="2"/>
      <c r="K2" s="2"/>
      <c r="L2" s="2"/>
      <c r="M2" s="2"/>
      <c r="N2" s="2"/>
      <c r="O2" s="2"/>
      <c r="P2" s="2"/>
      <c r="Q2" s="2"/>
      <c r="R2" s="2"/>
      <c r="S2" s="2"/>
      <c r="T2" s="2"/>
      <c r="U2" s="2"/>
      <c r="V2" s="2"/>
    </row>
    <row r="4" customFormat="false" ht="30"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c r="U4" s="3" t="s">
        <v>22</v>
      </c>
      <c r="V4" s="3" t="s">
        <v>23</v>
      </c>
    </row>
    <row r="5" customFormat="false" ht="15" hidden="false" customHeight="false" outlineLevel="0" collapsed="false">
      <c r="A5" s="4" t="s">
        <v>24</v>
      </c>
      <c r="B5" s="4" t="s">
        <v>25</v>
      </c>
      <c r="C5" s="5" t="n">
        <v>1055450</v>
      </c>
      <c r="D5" s="5" t="n">
        <v>78.85</v>
      </c>
      <c r="E5" s="5" t="n">
        <v>0</v>
      </c>
      <c r="F5" s="5" t="n">
        <v>0</v>
      </c>
      <c r="G5" s="5" t="n">
        <v>0</v>
      </c>
      <c r="H5" s="5" t="n">
        <v>0</v>
      </c>
      <c r="I5" s="5" t="n">
        <f aca="false">SUM(D5:H5)</f>
        <v>78.85</v>
      </c>
      <c r="J5" s="5" t="n">
        <v>1.36</v>
      </c>
      <c r="K5" s="5" t="n">
        <v>0</v>
      </c>
      <c r="L5" s="5" t="n">
        <v>1.36</v>
      </c>
      <c r="M5" s="5" t="n">
        <v>237.43</v>
      </c>
      <c r="N5" s="5" t="n">
        <v>237.43</v>
      </c>
      <c r="O5" s="5" t="n">
        <f aca="false">M5-N5</f>
        <v>0</v>
      </c>
      <c r="P5" s="5" t="n">
        <v>0.02</v>
      </c>
      <c r="Q5" s="5" t="n">
        <v>0</v>
      </c>
      <c r="R5" s="6" t="n">
        <f aca="false">IFERROR(I5/(C5/1000000),"")</f>
        <v>74.7074707470747</v>
      </c>
      <c r="S5" s="6" t="n">
        <f aca="false">IFERROR(L5/(C5/1000000),"")</f>
        <v>1.28854990762234</v>
      </c>
      <c r="T5" s="6" t="n">
        <f aca="false">IFERROR(D5/(P5*1000),"")</f>
        <v>3.9425</v>
      </c>
      <c r="U5" s="7" t="n">
        <f aca="false">IFERROR((J5*1000)/(D5*720)*100,"")</f>
        <v>2.39554710068344</v>
      </c>
      <c r="V5" s="7" t="n">
        <f aca="false">IFERROR(L5/N5*100,"")</f>
        <v>0.572800404329697</v>
      </c>
    </row>
    <row r="6" customFormat="false" ht="15" hidden="false" customHeight="false" outlineLevel="0" collapsed="false">
      <c r="A6" s="4" t="s">
        <v>26</v>
      </c>
      <c r="B6" s="4" t="s">
        <v>25</v>
      </c>
      <c r="C6" s="5" t="n">
        <v>16787941</v>
      </c>
      <c r="D6" s="5" t="n">
        <v>455.9</v>
      </c>
      <c r="E6" s="5" t="n">
        <v>0</v>
      </c>
      <c r="F6" s="5" t="n">
        <v>0</v>
      </c>
      <c r="G6" s="5" t="n">
        <v>0</v>
      </c>
      <c r="H6" s="5" t="n">
        <v>85.17</v>
      </c>
      <c r="I6" s="5" t="n">
        <f aca="false">SUM(D6:H6)</f>
        <v>541.07</v>
      </c>
      <c r="J6" s="5" t="n">
        <v>17.211</v>
      </c>
      <c r="K6" s="5" t="n">
        <v>0</v>
      </c>
      <c r="L6" s="5" t="n">
        <v>63.881</v>
      </c>
      <c r="M6" s="5" t="n">
        <v>4545.5083956</v>
      </c>
      <c r="N6" s="5" t="n">
        <v>4540.58226</v>
      </c>
      <c r="O6" s="5" t="n">
        <f aca="false">M6-N6</f>
        <v>4.92613559999973</v>
      </c>
      <c r="P6" s="5" t="n">
        <v>0.55</v>
      </c>
      <c r="Q6" s="5" t="n">
        <v>0</v>
      </c>
      <c r="R6" s="6" t="n">
        <f aca="false">IFERROR(I6/(C6/1000000),"")</f>
        <v>32.2296820080557</v>
      </c>
      <c r="S6" s="6" t="n">
        <f aca="false">IFERROR(L6/(C6/1000000),"")</f>
        <v>3.80517181946255</v>
      </c>
      <c r="T6" s="6" t="n">
        <f aca="false">IFERROR(D6/(P6*1000),"")</f>
        <v>0.828909090909091</v>
      </c>
      <c r="U6" s="7" t="n">
        <f aca="false">IFERROR((J6*1000)/(D6*720)*100,"")</f>
        <v>5.24329165752724</v>
      </c>
      <c r="V6" s="7" t="n">
        <f aca="false">IFERROR(L6/N6*100,"")</f>
        <v>1.40689004938323</v>
      </c>
    </row>
    <row r="7" customFormat="false" ht="15" hidden="false" customHeight="false" outlineLevel="0" collapsed="false">
      <c r="A7" s="4" t="s">
        <v>27</v>
      </c>
      <c r="B7" s="4" t="s">
        <v>25</v>
      </c>
      <c r="C7" s="5" t="n">
        <v>25351462</v>
      </c>
      <c r="D7" s="5" t="n">
        <v>2802.18</v>
      </c>
      <c r="E7" s="5" t="n">
        <v>0</v>
      </c>
      <c r="F7" s="5" t="n">
        <v>73.5</v>
      </c>
      <c r="G7" s="5" t="n">
        <v>0</v>
      </c>
      <c r="H7" s="5" t="n">
        <v>330.88</v>
      </c>
      <c r="I7" s="5" t="n">
        <f aca="false">SUM(D7:H7)</f>
        <v>3206.56</v>
      </c>
      <c r="J7" s="5" t="n">
        <v>164.31</v>
      </c>
      <c r="K7" s="5" t="n">
        <v>0</v>
      </c>
      <c r="L7" s="5" t="n">
        <v>238.67</v>
      </c>
      <c r="M7" s="5" t="n">
        <v>7800.726</v>
      </c>
      <c r="N7" s="5" t="n">
        <v>7790.04</v>
      </c>
      <c r="O7" s="5" t="n">
        <f aca="false">M7-N7</f>
        <v>10.6859999999997</v>
      </c>
      <c r="P7" s="5" t="n">
        <v>6.47</v>
      </c>
      <c r="Q7" s="5" t="n">
        <v>419</v>
      </c>
      <c r="R7" s="6" t="n">
        <f aca="false">IFERROR(I7/(C7/1000000),"")</f>
        <v>126.484224065657</v>
      </c>
      <c r="S7" s="6" t="n">
        <f aca="false">IFERROR(L7/(C7/1000000),"")</f>
        <v>9.41444718257274</v>
      </c>
      <c r="T7" s="6" t="n">
        <f aca="false">IFERROR(D7/(P7*1000),"")</f>
        <v>0.433103554868624</v>
      </c>
      <c r="U7" s="7" t="n">
        <f aca="false">IFERROR((J7*1000)/(D7*720)*100,"")</f>
        <v>8.14395696683772</v>
      </c>
      <c r="V7" s="7" t="n">
        <f aca="false">IFERROR(L7/N7*100,"")</f>
        <v>3.06378401137863</v>
      </c>
    </row>
    <row r="8" customFormat="false" ht="15" hidden="false" customHeight="false" outlineLevel="0" collapsed="false">
      <c r="A8" s="4" t="s">
        <v>28</v>
      </c>
      <c r="B8" s="4" t="s">
        <v>25</v>
      </c>
      <c r="C8" s="5" t="n">
        <v>6864602</v>
      </c>
      <c r="D8" s="5" t="n">
        <v>380.29</v>
      </c>
      <c r="E8" s="5" t="n">
        <v>0</v>
      </c>
      <c r="F8" s="5" t="n">
        <v>1013.46</v>
      </c>
      <c r="G8" s="5" t="n">
        <v>11571.02</v>
      </c>
      <c r="H8" s="5" t="n">
        <v>10.2</v>
      </c>
      <c r="I8" s="5" t="n">
        <f aca="false">SUM(D8:H8)</f>
        <v>12974.97</v>
      </c>
      <c r="J8" s="5" t="n">
        <v>30.8</v>
      </c>
      <c r="K8" s="5" t="n">
        <v>0</v>
      </c>
      <c r="L8" s="5" t="n">
        <v>4880.8</v>
      </c>
      <c r="M8" s="5" t="n">
        <v>1208.08</v>
      </c>
      <c r="N8" s="5" t="n">
        <v>1202.71</v>
      </c>
      <c r="O8" s="5" t="n">
        <f aca="false">M8-N8</f>
        <v>5.36999999999989</v>
      </c>
      <c r="P8" s="5" t="n">
        <v>21.5</v>
      </c>
      <c r="Q8" s="5" t="n">
        <v>151</v>
      </c>
      <c r="R8" s="6" t="n">
        <f aca="false">IFERROR(I8/(C8/1000000),"")</f>
        <v>1890.12706053461</v>
      </c>
      <c r="S8" s="6" t="n">
        <f aca="false">IFERROR(L8/(C8/1000000),"")</f>
        <v>711.009902686274</v>
      </c>
      <c r="T8" s="6" t="n">
        <f aca="false">IFERROR(D8/(P8*1000),"")</f>
        <v>0.0176879069767442</v>
      </c>
      <c r="U8" s="7" t="n">
        <f aca="false">IFERROR((J8*1000)/(D8*720)*100,"")</f>
        <v>11.2487253879349</v>
      </c>
      <c r="V8" s="7" t="n">
        <f aca="false">IFERROR(L8/N8*100,"")</f>
        <v>405.816863583075</v>
      </c>
    </row>
    <row r="9" customFormat="false" ht="15" hidden="false" customHeight="false" outlineLevel="0" collapsed="false">
      <c r="A9" s="4" t="s">
        <v>29</v>
      </c>
      <c r="B9" s="4" t="s">
        <v>25</v>
      </c>
      <c r="C9" s="5" t="n">
        <v>12541302</v>
      </c>
      <c r="D9" s="5" t="n">
        <v>167.91</v>
      </c>
      <c r="E9" s="5" t="n">
        <v>0</v>
      </c>
      <c r="F9" s="5" t="n">
        <v>189.93</v>
      </c>
      <c r="G9" s="5" t="n">
        <v>3360</v>
      </c>
      <c r="H9" s="5" t="n">
        <v>5</v>
      </c>
      <c r="I9" s="5" t="n">
        <f aca="false">SUM(D9:H9)</f>
        <v>3722.84</v>
      </c>
      <c r="J9" s="5" t="n">
        <v>0</v>
      </c>
      <c r="K9" s="5" t="n">
        <v>0</v>
      </c>
      <c r="L9" s="5" t="n">
        <v>2265.439463</v>
      </c>
      <c r="M9" s="5" t="n">
        <v>1647.69</v>
      </c>
      <c r="N9" s="5" t="n">
        <v>1638.25</v>
      </c>
      <c r="O9" s="5" t="n">
        <f aca="false">M9-N9</f>
        <v>9.44000000000006</v>
      </c>
      <c r="P9" s="5" t="n">
        <v>8.59</v>
      </c>
      <c r="Q9" s="5" t="n">
        <v>143</v>
      </c>
      <c r="R9" s="6" t="n">
        <f aca="false">IFERROR(I9/(C9/1000000),"")</f>
        <v>296.846372091191</v>
      </c>
      <c r="S9" s="6" t="n">
        <f aca="false">IFERROR(L9/(C9/1000000),"")</f>
        <v>180.638299197324</v>
      </c>
      <c r="T9" s="6" t="n">
        <f aca="false">IFERROR(D9/(P9*1000),"")</f>
        <v>0.0195471478463329</v>
      </c>
      <c r="U9" s="7" t="n">
        <f aca="false">IFERROR((J9*1000)/(D9*720)*100,"")</f>
        <v>0</v>
      </c>
      <c r="V9" s="7" t="n">
        <f aca="false">IFERROR(L9/N9*100,"")</f>
        <v>138.284111887685</v>
      </c>
    </row>
    <row r="10" customFormat="false" ht="15" hidden="false" customHeight="false" outlineLevel="0" collapsed="false">
      <c r="A10" s="4" t="s">
        <v>30</v>
      </c>
      <c r="B10" s="4" t="s">
        <v>25</v>
      </c>
      <c r="C10" s="5"/>
      <c r="D10" s="5" t="n">
        <v>18.42</v>
      </c>
      <c r="E10" s="5" t="n">
        <v>0</v>
      </c>
      <c r="F10" s="5" t="n">
        <v>45.79</v>
      </c>
      <c r="G10" s="5" t="n">
        <v>89</v>
      </c>
      <c r="H10" s="5" t="n">
        <v>0</v>
      </c>
      <c r="I10" s="5" t="n">
        <f aca="false">SUM(D10:H10)</f>
        <v>153.21</v>
      </c>
      <c r="J10" s="5" t="n">
        <v>0</v>
      </c>
      <c r="K10" s="5" t="n">
        <v>0</v>
      </c>
      <c r="L10" s="5" t="n">
        <v>60</v>
      </c>
      <c r="M10" s="5"/>
      <c r="N10" s="5"/>
      <c r="O10" s="5"/>
      <c r="P10" s="5" t="n">
        <v>8.56</v>
      </c>
      <c r="Q10" s="5" t="n">
        <v>0</v>
      </c>
      <c r="R10" s="6"/>
      <c r="S10" s="6"/>
      <c r="T10" s="6" t="n">
        <f aca="false">IFERROR(D10/(P10*1000),"")</f>
        <v>0.00215186915887851</v>
      </c>
      <c r="U10" s="7" t="n">
        <f aca="false">IFERROR((J10*1000)/(D10*720)*100,"")</f>
        <v>0</v>
      </c>
      <c r="V10" s="7"/>
    </row>
    <row r="11" customFormat="false" ht="15" hidden="false" customHeight="false" outlineLevel="0" collapsed="false">
      <c r="A11" s="4" t="s">
        <v>31</v>
      </c>
      <c r="B11" s="4" t="s">
        <v>25</v>
      </c>
      <c r="C11" s="5" t="n">
        <v>27743338</v>
      </c>
      <c r="D11" s="5" t="n">
        <v>1603.19</v>
      </c>
      <c r="E11" s="5" t="n">
        <v>0</v>
      </c>
      <c r="F11" s="5" t="n">
        <v>176.1</v>
      </c>
      <c r="G11" s="5" t="n">
        <v>1096.3</v>
      </c>
      <c r="H11" s="5" t="n">
        <v>582.59</v>
      </c>
      <c r="I11" s="5" t="n">
        <f aca="false">SUM(D11:H11)</f>
        <v>3458.18</v>
      </c>
      <c r="J11" s="5" t="n">
        <v>135.833994</v>
      </c>
      <c r="K11" s="5" t="n">
        <v>0</v>
      </c>
      <c r="L11" s="5" t="n">
        <v>752.897944</v>
      </c>
      <c r="M11" s="5" t="n">
        <v>8715.51363814</v>
      </c>
      <c r="N11" s="5" t="n">
        <v>8715.51363814</v>
      </c>
      <c r="O11" s="5" t="n">
        <f aca="false">M11-N11</f>
        <v>0</v>
      </c>
      <c r="P11" s="5" t="n">
        <v>9.21</v>
      </c>
      <c r="Q11" s="5" t="n">
        <v>278</v>
      </c>
      <c r="R11" s="6" t="n">
        <f aca="false">IFERROR(I11/(C11/1000000),"")</f>
        <v>124.649023848536</v>
      </c>
      <c r="S11" s="6" t="n">
        <f aca="false">IFERROR(L11/(C11/1000000),"")</f>
        <v>27.1379725107339</v>
      </c>
      <c r="T11" s="6" t="n">
        <f aca="false">IFERROR(D11/(P11*1000),"")</f>
        <v>0.174070575461455</v>
      </c>
      <c r="U11" s="7" t="n">
        <f aca="false">IFERROR((J11*1000)/(D11*720)*100,"")</f>
        <v>11.7676834935348</v>
      </c>
      <c r="V11" s="7" t="n">
        <f aca="false">IFERROR(L11/N11*100,"")</f>
        <v>8.63859521377191</v>
      </c>
    </row>
    <row r="12" customFormat="false" ht="15" hidden="false" customHeight="false" outlineLevel="0" collapsed="false">
      <c r="A12" s="4" t="s">
        <v>32</v>
      </c>
      <c r="B12" s="4" t="s">
        <v>25</v>
      </c>
      <c r="C12" s="5" t="n">
        <v>68548437</v>
      </c>
      <c r="D12" s="5" t="n">
        <v>43317.81</v>
      </c>
      <c r="E12" s="5" t="n">
        <v>5516.04</v>
      </c>
      <c r="F12" s="5" t="n">
        <v>23.85</v>
      </c>
      <c r="G12" s="5" t="n">
        <v>412.5</v>
      </c>
      <c r="H12" s="5" t="n">
        <v>222.42</v>
      </c>
      <c r="I12" s="5" t="n">
        <f aca="false">SUM(D12:H12)</f>
        <v>49492.62</v>
      </c>
      <c r="J12" s="5" t="n">
        <v>6450.201</v>
      </c>
      <c r="K12" s="5" t="n">
        <v>1295.361</v>
      </c>
      <c r="L12" s="5" t="n">
        <v>7845.364</v>
      </c>
      <c r="M12" s="5" t="n">
        <v>10464.0584</v>
      </c>
      <c r="N12" s="5" t="n">
        <v>10340.6974</v>
      </c>
      <c r="O12" s="5" t="n">
        <f aca="false">M12-N12</f>
        <v>123.361000000001</v>
      </c>
      <c r="P12" s="5" t="n">
        <v>828.78</v>
      </c>
      <c r="Q12" s="5" t="n">
        <v>127756</v>
      </c>
      <c r="R12" s="6" t="n">
        <f aca="false">IFERROR(I12/(C12/1000000),"")</f>
        <v>722.009460259466</v>
      </c>
      <c r="S12" s="6" t="n">
        <f aca="false">IFERROR(L12/(C12/1000000),"")</f>
        <v>114.449932680449</v>
      </c>
      <c r="T12" s="6" t="n">
        <f aca="false">IFERROR(D12/(P12*1000),"")</f>
        <v>0.0522669586621299</v>
      </c>
      <c r="U12" s="7" t="n">
        <f aca="false">IFERROR((J12*1000)/(D12*720)*100,"")</f>
        <v>20.6811297708725</v>
      </c>
      <c r="V12" s="7" t="n">
        <f aca="false">IFERROR(L12/N12*100,"")</f>
        <v>75.868809389974</v>
      </c>
    </row>
    <row r="13" customFormat="false" ht="15" hidden="false" customHeight="false" outlineLevel="0" collapsed="false">
      <c r="A13" s="4" t="s">
        <v>33</v>
      </c>
      <c r="B13" s="4" t="s">
        <v>25</v>
      </c>
      <c r="C13" s="5" t="n">
        <v>199812341</v>
      </c>
      <c r="D13" s="5" t="n">
        <v>5788.82</v>
      </c>
      <c r="E13" s="5" t="n">
        <v>0</v>
      </c>
      <c r="F13" s="5" t="n">
        <v>50.6</v>
      </c>
      <c r="G13" s="5" t="n">
        <v>501.6</v>
      </c>
      <c r="H13" s="5" t="n">
        <v>2329.89</v>
      </c>
      <c r="I13" s="5" t="n">
        <f aca="false">SUM(D13:H13)</f>
        <v>8670.91</v>
      </c>
      <c r="J13" s="5" t="n">
        <v>553.246</v>
      </c>
      <c r="K13" s="5" t="n">
        <v>0</v>
      </c>
      <c r="L13" s="5" t="n">
        <v>696.9756</v>
      </c>
      <c r="M13" s="5" t="n">
        <v>18143.884123</v>
      </c>
      <c r="N13" s="5" t="n">
        <v>18094.262873</v>
      </c>
      <c r="O13" s="5" t="n">
        <f aca="false">M13-N13</f>
        <v>49.6212500000001</v>
      </c>
      <c r="P13" s="5" t="n">
        <v>97.84</v>
      </c>
      <c r="Q13" s="5" t="n">
        <v>100</v>
      </c>
      <c r="R13" s="6" t="n">
        <f aca="false">IFERROR(I13/(C13/1000000),"")</f>
        <v>43.3952675625776</v>
      </c>
      <c r="S13" s="6" t="n">
        <f aca="false">IFERROR(L13/(C13/1000000),"")</f>
        <v>3.48815091456238</v>
      </c>
      <c r="T13" s="6" t="n">
        <f aca="false">IFERROR(D13/(P13*1000),"")</f>
        <v>0.0591661896974652</v>
      </c>
      <c r="U13" s="7" t="n">
        <f aca="false">IFERROR((J13*1000)/(D13*720)*100,"")</f>
        <v>13.2738143908814</v>
      </c>
      <c r="V13" s="7" t="n">
        <f aca="false">IFERROR(L13/N13*100,"")</f>
        <v>3.85191485772</v>
      </c>
    </row>
    <row r="14" customFormat="false" ht="15" hidden="false" customHeight="false" outlineLevel="0" collapsed="false">
      <c r="A14" s="4" t="s">
        <v>34</v>
      </c>
      <c r="B14" s="4" t="s">
        <v>25</v>
      </c>
      <c r="C14" s="5" t="n">
        <v>10086292</v>
      </c>
      <c r="D14" s="5" t="n">
        <v>891.14</v>
      </c>
      <c r="E14" s="5" t="n">
        <v>0</v>
      </c>
      <c r="F14" s="5" t="n">
        <v>233.82</v>
      </c>
      <c r="G14" s="5" t="n">
        <v>5035.35</v>
      </c>
      <c r="H14" s="5" t="n">
        <v>161.49</v>
      </c>
      <c r="I14" s="5" t="n">
        <f aca="false">SUM(D14:H14)</f>
        <v>6321.8</v>
      </c>
      <c r="J14" s="5" t="n">
        <v>27.65</v>
      </c>
      <c r="K14" s="5" t="n">
        <v>0</v>
      </c>
      <c r="L14" s="5" t="n">
        <v>1347.7</v>
      </c>
      <c r="M14" s="5" t="n">
        <v>1713.044</v>
      </c>
      <c r="N14" s="5" t="n">
        <v>1704.043</v>
      </c>
      <c r="O14" s="5" t="n">
        <f aca="false">M14-N14</f>
        <v>9.0010000000002</v>
      </c>
      <c r="P14" s="5" t="n">
        <v>4.44</v>
      </c>
      <c r="Q14" s="5" t="n">
        <v>54</v>
      </c>
      <c r="R14" s="6" t="n">
        <f aca="false">IFERROR(I14/(C14/1000000),"")</f>
        <v>626.771463685565</v>
      </c>
      <c r="S14" s="6" t="n">
        <f aca="false">IFERROR(L14/(C14/1000000),"")</f>
        <v>133.616992250472</v>
      </c>
      <c r="T14" s="6" t="n">
        <f aca="false">IFERROR(D14/(P14*1000),"")</f>
        <v>0.200707207207207</v>
      </c>
      <c r="U14" s="7" t="n">
        <f aca="false">IFERROR((J14*1000)/(D14*720)*100,"")</f>
        <v>4.3093989471663</v>
      </c>
      <c r="V14" s="7" t="n">
        <f aca="false">IFERROR(L14/N14*100,"")</f>
        <v>79.0883798120118</v>
      </c>
    </row>
    <row r="15" customFormat="false" ht="15" hidden="false" customHeight="false" outlineLevel="0" collapsed="false">
      <c r="A15" s="4" t="s">
        <v>35</v>
      </c>
      <c r="B15" s="4" t="s">
        <v>36</v>
      </c>
      <c r="C15" s="5" t="n">
        <v>25545198</v>
      </c>
      <c r="D15" s="5" t="n">
        <v>2026.67</v>
      </c>
      <c r="E15" s="5" t="n">
        <v>0</v>
      </c>
      <c r="F15" s="5" t="n">
        <v>108.9</v>
      </c>
      <c r="G15" s="5" t="n">
        <v>120</v>
      </c>
      <c r="H15" s="5" t="n">
        <v>289.92</v>
      </c>
      <c r="I15" s="5" t="n">
        <f aca="false">SUM(D15:H15)</f>
        <v>2545.49</v>
      </c>
      <c r="J15" s="5" t="n">
        <v>222.158756285714</v>
      </c>
      <c r="K15" s="5" t="n">
        <v>0</v>
      </c>
      <c r="L15" s="5" t="n">
        <v>345.696756285714</v>
      </c>
      <c r="M15" s="5" t="n">
        <v>3585.68941093533</v>
      </c>
      <c r="N15" s="5" t="n">
        <v>3584.80791093533</v>
      </c>
      <c r="O15" s="5" t="n">
        <f aca="false">M15-N15</f>
        <v>0.881500000000415</v>
      </c>
      <c r="P15" s="5" t="n">
        <v>126.48</v>
      </c>
      <c r="Q15" s="5" t="n">
        <v>348</v>
      </c>
      <c r="R15" s="6" t="n">
        <f aca="false">IFERROR(I15/(C15/1000000),"")</f>
        <v>99.6465167347695</v>
      </c>
      <c r="S15" s="6" t="n">
        <f aca="false">IFERROR(L15/(C15/1000000),"")</f>
        <v>13.5327491407862</v>
      </c>
      <c r="T15" s="6" t="n">
        <f aca="false">IFERROR(D15/(P15*1000),"")</f>
        <v>0.0160236401012018</v>
      </c>
      <c r="U15" s="7" t="n">
        <f aca="false">IFERROR((J15*1000)/(D15*720)*100,"")</f>
        <v>15.2246704285652</v>
      </c>
      <c r="V15" s="7" t="n">
        <f aca="false">IFERROR(L15/N15*100,"")</f>
        <v>9.64338298939751</v>
      </c>
    </row>
    <row r="16" customFormat="false" ht="15" hidden="false" customHeight="false" outlineLevel="0" collapsed="false">
      <c r="A16" s="4" t="s">
        <v>37</v>
      </c>
      <c r="B16" s="4" t="s">
        <v>36</v>
      </c>
      <c r="C16" s="5" t="n">
        <v>586956</v>
      </c>
      <c r="D16" s="5" t="n">
        <v>143.4</v>
      </c>
      <c r="E16" s="5" t="n">
        <v>0</v>
      </c>
      <c r="F16" s="5" t="n">
        <v>0</v>
      </c>
      <c r="G16" s="5" t="n">
        <v>0</v>
      </c>
      <c r="H16" s="5" t="n">
        <v>3.75</v>
      </c>
      <c r="I16" s="5" t="n">
        <f aca="false">SUM(D16:H16)</f>
        <v>147.15</v>
      </c>
      <c r="J16" s="5" t="n">
        <v>1.690492</v>
      </c>
      <c r="K16" s="5" t="n">
        <v>0</v>
      </c>
      <c r="L16" s="5" t="n">
        <v>2.739725</v>
      </c>
      <c r="M16" s="5" t="n">
        <v>907.581205991</v>
      </c>
      <c r="N16" s="5" t="n">
        <v>907.581205991</v>
      </c>
      <c r="O16" s="5" t="n">
        <f aca="false">M16-N16</f>
        <v>0</v>
      </c>
      <c r="P16" s="5" t="n">
        <v>0.5</v>
      </c>
      <c r="Q16" s="5" t="n">
        <v>0</v>
      </c>
      <c r="R16" s="6" t="n">
        <f aca="false">IFERROR(I16/(C16/1000000),"")</f>
        <v>250.700222844643</v>
      </c>
      <c r="S16" s="6" t="n">
        <f aca="false">IFERROR(L16/(C16/1000000),"")</f>
        <v>4.66768377868188</v>
      </c>
      <c r="T16" s="6" t="n">
        <f aca="false">IFERROR(D16/(P16*1000),"")</f>
        <v>0.2868</v>
      </c>
      <c r="U16" s="7" t="n">
        <f aca="false">IFERROR((J16*1000)/(D16*720)*100,"")</f>
        <v>1.63731210289788</v>
      </c>
      <c r="V16" s="7" t="n">
        <f aca="false">IFERROR(L16/N16*100,"")</f>
        <v>0.3018710592413</v>
      </c>
    </row>
    <row r="17" customFormat="false" ht="15" hidden="false" customHeight="false" outlineLevel="0" collapsed="false">
      <c r="A17" s="4" t="s">
        <v>38</v>
      </c>
      <c r="B17" s="4" t="s">
        <v>36</v>
      </c>
      <c r="C17" s="5" t="n">
        <v>1458545</v>
      </c>
      <c r="D17" s="5" t="n">
        <v>89.51</v>
      </c>
      <c r="E17" s="5" t="n">
        <v>0</v>
      </c>
      <c r="F17" s="5" t="n">
        <v>0.05</v>
      </c>
      <c r="G17" s="5" t="n">
        <v>0</v>
      </c>
      <c r="H17" s="5" t="n">
        <v>1.94</v>
      </c>
      <c r="I17" s="5" t="n">
        <f aca="false">SUM(D17:H17)</f>
        <v>91.5</v>
      </c>
      <c r="J17" s="5" t="n">
        <v>3.345</v>
      </c>
      <c r="K17" s="5" t="n">
        <v>0</v>
      </c>
      <c r="L17" s="5" t="n">
        <v>3.8057</v>
      </c>
      <c r="M17" s="5" t="n">
        <v>437.890392</v>
      </c>
      <c r="N17" s="5" t="n">
        <v>437.890392</v>
      </c>
      <c r="O17" s="5" t="n">
        <f aca="false">M17-N17</f>
        <v>0</v>
      </c>
      <c r="P17" s="5" t="n">
        <v>6.75</v>
      </c>
      <c r="Q17" s="5" t="n">
        <v>8</v>
      </c>
      <c r="R17" s="6" t="n">
        <f aca="false">IFERROR(I17/(C17/1000000),"")</f>
        <v>62.7337517868835</v>
      </c>
      <c r="S17" s="6" t="n">
        <f aca="false">IFERROR(L17/(C17/1000000),"")</f>
        <v>2.60924414399282</v>
      </c>
      <c r="T17" s="6" t="n">
        <f aca="false">IFERROR(D17/(P17*1000),"")</f>
        <v>0.0132607407407407</v>
      </c>
      <c r="U17" s="7" t="n">
        <f aca="false">IFERROR((J17*1000)/(D17*720)*100,"")</f>
        <v>5.19029531151082</v>
      </c>
      <c r="V17" s="7" t="n">
        <f aca="false">IFERROR(L17/N17*100,"")</f>
        <v>0.869098767529021</v>
      </c>
    </row>
    <row r="18" customFormat="false" ht="15" hidden="false" customHeight="false" outlineLevel="0" collapsed="false">
      <c r="A18" s="4" t="s">
        <v>39</v>
      </c>
      <c r="B18" s="4" t="s">
        <v>36</v>
      </c>
      <c r="C18" s="5" t="n">
        <v>60439692</v>
      </c>
      <c r="D18" s="5" t="n">
        <v>33220.04</v>
      </c>
      <c r="E18" s="5" t="n">
        <v>16086.66</v>
      </c>
      <c r="F18" s="5" t="n">
        <v>113.3</v>
      </c>
      <c r="G18" s="5" t="n">
        <v>1990</v>
      </c>
      <c r="H18" s="5" t="n">
        <v>129.85</v>
      </c>
      <c r="I18" s="5" t="n">
        <f aca="false">SUM(D18:H18)</f>
        <v>51539.85</v>
      </c>
      <c r="J18" s="5" t="n">
        <v>4550.16206830011</v>
      </c>
      <c r="K18" s="5" t="n">
        <v>4928.35254761905</v>
      </c>
      <c r="L18" s="5" t="n">
        <v>9698.05361591916</v>
      </c>
      <c r="M18" s="5" t="n">
        <v>13862.2405370966</v>
      </c>
      <c r="N18" s="5" t="n">
        <v>13862.2405370966</v>
      </c>
      <c r="O18" s="5" t="n">
        <f aca="false">M18-N18</f>
        <v>0</v>
      </c>
      <c r="P18" s="5" t="n">
        <v>243.22</v>
      </c>
      <c r="Q18" s="5" t="n">
        <v>142560</v>
      </c>
      <c r="R18" s="6" t="n">
        <f aca="false">IFERROR(I18/(C18/1000000),"")</f>
        <v>852.74838925387</v>
      </c>
      <c r="S18" s="6" t="n">
        <f aca="false">IFERROR(L18/(C18/1000000),"")</f>
        <v>160.458356007492</v>
      </c>
      <c r="T18" s="6" t="n">
        <f aca="false">IFERROR(D18/(P18*1000),"")</f>
        <v>0.136584326946797</v>
      </c>
      <c r="U18" s="7" t="n">
        <f aca="false">IFERROR((J18*1000)/(D18*720)*100,"")</f>
        <v>19.0236662547839</v>
      </c>
      <c r="V18" s="7" t="n">
        <f aca="false">IFERROR(L18/N18*100,"")</f>
        <v>69.9602173975145</v>
      </c>
    </row>
    <row r="19" customFormat="false" ht="15" hidden="false" customHeight="false" outlineLevel="0" collapsed="false">
      <c r="A19" s="4" t="s">
        <v>40</v>
      </c>
      <c r="B19" s="4" t="s">
        <v>36</v>
      </c>
      <c r="C19" s="5" t="n">
        <v>72626809</v>
      </c>
      <c r="D19" s="5" t="n">
        <v>6332.42</v>
      </c>
      <c r="E19" s="5" t="n">
        <v>3686.45</v>
      </c>
      <c r="F19" s="5" t="n">
        <v>123.71</v>
      </c>
      <c r="G19" s="5" t="n">
        <v>2235</v>
      </c>
      <c r="H19" s="5" t="n">
        <v>159.46</v>
      </c>
      <c r="I19" s="5" t="n">
        <f aca="false">SUM(D19:H19)</f>
        <v>12537.04</v>
      </c>
      <c r="J19" s="5" t="n">
        <v>886.182754152824</v>
      </c>
      <c r="K19" s="5" t="n">
        <v>640.137775</v>
      </c>
      <c r="L19" s="5" t="n">
        <v>1817.72152915282</v>
      </c>
      <c r="M19" s="5" t="n">
        <v>8072.788557488</v>
      </c>
      <c r="N19" s="5" t="n">
        <v>8072.788557488</v>
      </c>
      <c r="O19" s="5" t="n">
        <f aca="false">M19-N19</f>
        <v>0</v>
      </c>
      <c r="P19" s="5" t="n">
        <v>318.97</v>
      </c>
      <c r="Q19" s="5" t="n">
        <v>15404</v>
      </c>
      <c r="R19" s="6" t="n">
        <f aca="false">IFERROR(I19/(C19/1000000),"")</f>
        <v>172.622756976697</v>
      </c>
      <c r="S19" s="6" t="n">
        <f aca="false">IFERROR(L19/(C19/1000000),"")</f>
        <v>25.0282444483114</v>
      </c>
      <c r="T19" s="6" t="n">
        <f aca="false">IFERROR(D19/(P19*1000),"")</f>
        <v>0.0198527134213249</v>
      </c>
      <c r="U19" s="7" t="n">
        <f aca="false">IFERROR((J19*1000)/(D19*720)*100,"")</f>
        <v>19.4366352953186</v>
      </c>
      <c r="V19" s="7" t="n">
        <f aca="false">IFERROR(L19/N19*100,"")</f>
        <v>22.5166498070456</v>
      </c>
    </row>
    <row r="20" customFormat="false" ht="15" hidden="false" customHeight="false" outlineLevel="0" collapsed="false">
      <c r="A20" s="4" t="s">
        <v>41</v>
      </c>
      <c r="B20" s="4" t="s">
        <v>36</v>
      </c>
      <c r="C20" s="5" t="n">
        <v>112374333</v>
      </c>
      <c r="D20" s="5" t="n">
        <v>20312.37</v>
      </c>
      <c r="E20" s="5" t="n">
        <v>6318.71</v>
      </c>
      <c r="F20" s="5" t="n">
        <v>384.28</v>
      </c>
      <c r="G20" s="5" t="n">
        <v>3047</v>
      </c>
      <c r="H20" s="5" t="n">
        <v>2999.97</v>
      </c>
      <c r="I20" s="5" t="n">
        <f aca="false">SUM(D20:H20)</f>
        <v>33062.33</v>
      </c>
      <c r="J20" s="5" t="n">
        <v>1119.09571428571</v>
      </c>
      <c r="K20" s="5" t="n">
        <v>1240.56583333333</v>
      </c>
      <c r="L20" s="5" t="n">
        <v>2642.97154761905</v>
      </c>
      <c r="M20" s="5" t="n">
        <v>16702.727158434</v>
      </c>
      <c r="N20" s="5" t="n">
        <v>16700.491158434</v>
      </c>
      <c r="O20" s="5" t="n">
        <f aca="false">M20-N20</f>
        <v>2.23600000000079</v>
      </c>
      <c r="P20" s="5" t="n">
        <v>486.68</v>
      </c>
      <c r="Q20" s="5" t="n">
        <v>98210</v>
      </c>
      <c r="R20" s="6" t="n">
        <f aca="false">IFERROR(I20/(C20/1000000),"")</f>
        <v>294.216028850645</v>
      </c>
      <c r="S20" s="6" t="n">
        <f aca="false">IFERROR(L20/(C20/1000000),"")</f>
        <v>23.5193524807756</v>
      </c>
      <c r="T20" s="6" t="n">
        <f aca="false">IFERROR(D20/(P20*1000),"")</f>
        <v>0.0417366031067642</v>
      </c>
      <c r="U20" s="7" t="n">
        <f aca="false">IFERROR((J20*1000)/(D20*720)*100,"")</f>
        <v>7.65198548064356</v>
      </c>
      <c r="V20" s="7" t="n">
        <f aca="false">IFERROR(L20/N20*100,"")</f>
        <v>15.8257114868404</v>
      </c>
    </row>
    <row r="21" customFormat="false" ht="15" hidden="false" customHeight="false" outlineLevel="0" collapsed="false">
      <c r="A21" s="4" t="s">
        <v>42</v>
      </c>
      <c r="B21" s="4" t="s">
        <v>43</v>
      </c>
      <c r="C21" s="5" t="n">
        <v>49386799</v>
      </c>
      <c r="D21" s="5" t="n">
        <v>8069.76</v>
      </c>
      <c r="E21" s="5" t="n">
        <v>4461.58</v>
      </c>
      <c r="F21" s="5" t="n">
        <v>164.51</v>
      </c>
      <c r="G21" s="5" t="n">
        <v>3290</v>
      </c>
      <c r="H21" s="5" t="n">
        <v>615.02</v>
      </c>
      <c r="I21" s="5" t="n">
        <f aca="false">SUM(D21:H21)</f>
        <v>16600.87</v>
      </c>
      <c r="J21" s="5" t="n">
        <v>985.19</v>
      </c>
      <c r="K21" s="5" t="n">
        <v>1109.73</v>
      </c>
      <c r="L21" s="5" t="n">
        <v>2606.23</v>
      </c>
      <c r="M21" s="5" t="n">
        <v>6352.316872729</v>
      </c>
      <c r="N21" s="5" t="n">
        <v>6352.316872729</v>
      </c>
      <c r="O21" s="5" t="n">
        <f aca="false">M21-N21</f>
        <v>0</v>
      </c>
      <c r="P21" s="5" t="n">
        <v>299.31</v>
      </c>
      <c r="Q21" s="5" t="n">
        <v>74906</v>
      </c>
      <c r="R21" s="6" t="n">
        <f aca="false">IFERROR(I21/(C21/1000000),"")</f>
        <v>336.139825543259</v>
      </c>
      <c r="S21" s="6" t="n">
        <f aca="false">IFERROR(L21/(C21/1000000),"")</f>
        <v>52.7717943412368</v>
      </c>
      <c r="T21" s="6" t="n">
        <f aca="false">IFERROR(D21/(P21*1000),"")</f>
        <v>0.0269612107848051</v>
      </c>
      <c r="U21" s="7" t="n">
        <f aca="false">IFERROR((J21*1000)/(D21*720)*100,"")</f>
        <v>16.9561355535288</v>
      </c>
      <c r="V21" s="7" t="n">
        <f aca="false">IFERROR(L21/N21*100,"")</f>
        <v>41.0280225658886</v>
      </c>
    </row>
    <row r="22" customFormat="false" ht="15" hidden="false" customHeight="false" outlineLevel="0" collapsed="false">
      <c r="A22" s="4" t="s">
        <v>44</v>
      </c>
      <c r="B22" s="4" t="s">
        <v>43</v>
      </c>
      <c r="C22" s="5" t="n">
        <v>61095297</v>
      </c>
      <c r="D22" s="5" t="n">
        <v>11535.04</v>
      </c>
      <c r="E22" s="5" t="n">
        <v>8896.34</v>
      </c>
      <c r="F22" s="5" t="n">
        <v>1284.73</v>
      </c>
      <c r="G22" s="5" t="n">
        <v>3689.2</v>
      </c>
      <c r="H22" s="5" t="n">
        <v>1917.05</v>
      </c>
      <c r="I22" s="5" t="n">
        <f aca="false">SUM(D22:H22)</f>
        <v>27322.36</v>
      </c>
      <c r="J22" s="5" t="n">
        <v>1781.448</v>
      </c>
      <c r="K22" s="5" t="n">
        <v>2651.146</v>
      </c>
      <c r="L22" s="5" t="n">
        <v>5139.874</v>
      </c>
      <c r="M22" s="5" t="n">
        <v>6400.492004897</v>
      </c>
      <c r="N22" s="5" t="n">
        <v>6400.492004897</v>
      </c>
      <c r="O22" s="5" t="n">
        <f aca="false">M22-N22</f>
        <v>0</v>
      </c>
      <c r="P22" s="5" t="n">
        <v>223.28</v>
      </c>
      <c r="Q22" s="5" t="n">
        <v>124155</v>
      </c>
      <c r="R22" s="6" t="n">
        <f aca="false">IFERROR(I22/(C22/1000000),"")</f>
        <v>447.208890726892</v>
      </c>
      <c r="S22" s="6" t="n">
        <f aca="false">IFERROR(L22/(C22/1000000),"")</f>
        <v>84.1287996357559</v>
      </c>
      <c r="T22" s="6" t="n">
        <f aca="false">IFERROR(D22/(P22*1000),"")</f>
        <v>0.0516617699749194</v>
      </c>
      <c r="U22" s="7" t="n">
        <f aca="false">IFERROR((J22*1000)/(D22*720)*100,"")</f>
        <v>21.4497161113731</v>
      </c>
      <c r="V22" s="7" t="n">
        <f aca="false">IFERROR(L22/N22*100,"")</f>
        <v>80.3043577910494</v>
      </c>
    </row>
    <row r="23" customFormat="false" ht="15" hidden="false" customHeight="false" outlineLevel="0" collapsed="false">
      <c r="A23" s="4" t="s">
        <v>45</v>
      </c>
      <c r="B23" s="4" t="s">
        <v>43</v>
      </c>
      <c r="C23" s="5" t="n">
        <v>33406061</v>
      </c>
      <c r="D23" s="5" t="n">
        <v>2404.2</v>
      </c>
      <c r="E23" s="5" t="n">
        <v>71.52</v>
      </c>
      <c r="F23" s="5" t="n">
        <v>276.52</v>
      </c>
      <c r="G23" s="5" t="n">
        <v>2008.15</v>
      </c>
      <c r="H23" s="5" t="n">
        <v>2.5</v>
      </c>
      <c r="I23" s="5" t="n">
        <f aca="false">SUM(D23:H23)</f>
        <v>4762.89</v>
      </c>
      <c r="J23" s="5" t="n">
        <v>274.7</v>
      </c>
      <c r="K23" s="5" t="n">
        <v>16.94</v>
      </c>
      <c r="L23" s="5" t="n">
        <v>675.62</v>
      </c>
      <c r="M23" s="5" t="n">
        <v>2431.5534603694</v>
      </c>
      <c r="N23" s="5" t="n">
        <v>2431.5534603694</v>
      </c>
      <c r="O23" s="5" t="n">
        <f aca="false">M23-N23</f>
        <v>0</v>
      </c>
      <c r="P23" s="5" t="n">
        <v>12.4</v>
      </c>
      <c r="Q23" s="5" t="n">
        <v>837</v>
      </c>
      <c r="R23" s="6" t="n">
        <f aca="false">IFERROR(I23/(C23/1000000),"")</f>
        <v>142.575624225795</v>
      </c>
      <c r="S23" s="6" t="n">
        <f aca="false">IFERROR(L23/(C23/1000000),"")</f>
        <v>20.2244736366853</v>
      </c>
      <c r="T23" s="6" t="n">
        <f aca="false">IFERROR(D23/(P23*1000),"")</f>
        <v>0.193887096774194</v>
      </c>
      <c r="U23" s="7" t="n">
        <f aca="false">IFERROR((J23*1000)/(D23*720)*100,"")</f>
        <v>15.8692196064295</v>
      </c>
      <c r="V23" s="7" t="n">
        <f aca="false">IFERROR(L23/N23*100,"")</f>
        <v>27.7855293338835</v>
      </c>
    </row>
    <row r="24" customFormat="false" ht="15" hidden="false" customHeight="false" outlineLevel="0" collapsed="false">
      <c r="A24" s="4" t="s">
        <v>46</v>
      </c>
      <c r="B24" s="4" t="s">
        <v>43</v>
      </c>
      <c r="C24" s="5" t="n">
        <v>64473</v>
      </c>
      <c r="D24" s="5" t="n">
        <v>9.27</v>
      </c>
      <c r="E24" s="5" t="n">
        <v>0</v>
      </c>
      <c r="F24" s="5" t="n">
        <v>0</v>
      </c>
      <c r="G24" s="5" t="n">
        <v>0</v>
      </c>
      <c r="H24" s="5" t="n">
        <v>0</v>
      </c>
      <c r="I24" s="5" t="n">
        <f aca="false">SUM(D24:H24)</f>
        <v>9.27</v>
      </c>
      <c r="J24" s="5" t="n">
        <v>0.007643</v>
      </c>
      <c r="K24" s="5" t="n">
        <v>0</v>
      </c>
      <c r="L24" s="5" t="n">
        <v>0.007643</v>
      </c>
      <c r="M24" s="5" t="n">
        <v>5.4888</v>
      </c>
      <c r="N24" s="5" t="n">
        <v>5.4888</v>
      </c>
      <c r="O24" s="5" t="n">
        <f aca="false">M24-N24</f>
        <v>0</v>
      </c>
      <c r="P24" s="5"/>
      <c r="Q24" s="5"/>
      <c r="R24" s="6" t="n">
        <f aca="false">IFERROR(I24/(C24/1000000),"")</f>
        <v>143.781117677167</v>
      </c>
      <c r="S24" s="6" t="n">
        <f aca="false">IFERROR(L24/(C24/1000000),"")</f>
        <v>0.118545747832426</v>
      </c>
      <c r="T24" s="6"/>
      <c r="U24" s="7" t="n">
        <f aca="false">IFERROR((J24*1000)/(D24*720)*100,"")</f>
        <v>0.11451216588757</v>
      </c>
      <c r="V24" s="7" t="n">
        <f aca="false">IFERROR(L24/N24*100,"")</f>
        <v>0.139247194286547</v>
      </c>
    </row>
    <row r="25" customFormat="false" ht="15" hidden="false" customHeight="false" outlineLevel="0" collapsed="false">
      <c r="A25" s="4" t="s">
        <v>47</v>
      </c>
      <c r="B25" s="4" t="s">
        <v>43</v>
      </c>
      <c r="C25" s="5" t="n">
        <v>1247953</v>
      </c>
      <c r="D25" s="5" t="n">
        <v>85.71</v>
      </c>
      <c r="E25" s="5" t="n">
        <v>0</v>
      </c>
      <c r="F25" s="5" t="n">
        <v>0</v>
      </c>
      <c r="G25" s="5" t="n">
        <v>0</v>
      </c>
      <c r="H25" s="5" t="n">
        <v>0</v>
      </c>
      <c r="I25" s="5" t="n">
        <f aca="false">SUM(D25:H25)</f>
        <v>85.71</v>
      </c>
      <c r="J25" s="5" t="n">
        <v>1.02</v>
      </c>
      <c r="K25" s="5" t="n">
        <v>0</v>
      </c>
      <c r="L25" s="5" t="n">
        <v>1.02</v>
      </c>
      <c r="M25" s="5" t="n">
        <v>309.929160852</v>
      </c>
      <c r="N25" s="5" t="n">
        <v>309.929160852</v>
      </c>
      <c r="O25" s="5" t="n">
        <f aca="false">M25-N25</f>
        <v>0</v>
      </c>
      <c r="P25" s="5" t="n">
        <v>0.2</v>
      </c>
      <c r="Q25" s="5" t="n">
        <v>382</v>
      </c>
      <c r="R25" s="6" t="n">
        <f aca="false">IFERROR(I25/(C25/1000000),"")</f>
        <v>68.6804711395381</v>
      </c>
      <c r="S25" s="6" t="n">
        <f aca="false">IFERROR(L25/(C25/1000000),"")</f>
        <v>0.817338473484178</v>
      </c>
      <c r="T25" s="6" t="n">
        <f aca="false">IFERROR(D25/(P25*1000),"")</f>
        <v>0.42855</v>
      </c>
      <c r="U25" s="7" t="n">
        <f aca="false">IFERROR((J25*1000)/(D25*720)*100,"")</f>
        <v>1.65286042079882</v>
      </c>
      <c r="V25" s="7" t="n">
        <f aca="false">IFERROR(L25/N25*100,"")</f>
        <v>0.329107463523601</v>
      </c>
    </row>
    <row r="26" customFormat="false" ht="15" hidden="false" customHeight="false" outlineLevel="0" collapsed="false">
      <c r="A26" s="4" t="s">
        <v>48</v>
      </c>
      <c r="B26" s="4" t="s">
        <v>43</v>
      </c>
      <c r="C26" s="5" t="n">
        <v>72147030</v>
      </c>
      <c r="D26" s="5" t="n">
        <v>14121.46</v>
      </c>
      <c r="E26" s="5" t="n">
        <v>12273.69</v>
      </c>
      <c r="F26" s="5" t="n">
        <v>123.05</v>
      </c>
      <c r="G26" s="5" t="n">
        <v>2203.2</v>
      </c>
      <c r="H26" s="5" t="n">
        <v>1055.12</v>
      </c>
      <c r="I26" s="5" t="n">
        <f aca="false">SUM(D26:H26)</f>
        <v>29776.52</v>
      </c>
      <c r="J26" s="5" t="n">
        <v>2165.72</v>
      </c>
      <c r="K26" s="5" t="n">
        <v>3345.49</v>
      </c>
      <c r="L26" s="5" t="n">
        <v>5723.73</v>
      </c>
      <c r="M26" s="5" t="n">
        <v>10864.854977939</v>
      </c>
      <c r="N26" s="5" t="n">
        <v>10864.854977939</v>
      </c>
      <c r="O26" s="5" t="n">
        <f aca="false">M26-N26</f>
        <v>0</v>
      </c>
      <c r="P26" s="5" t="n">
        <v>204.77</v>
      </c>
      <c r="Q26" s="5" t="n">
        <v>68748</v>
      </c>
      <c r="R26" s="6" t="n">
        <f aca="false">IFERROR(I26/(C26/1000000),"")</f>
        <v>412.719969207326</v>
      </c>
      <c r="S26" s="6" t="n">
        <f aca="false">IFERROR(L26/(C26/1000000),"")</f>
        <v>79.334242864883</v>
      </c>
      <c r="T26" s="6" t="n">
        <f aca="false">IFERROR(D26/(P26*1000),"")</f>
        <v>0.0689625433413098</v>
      </c>
      <c r="U26" s="7" t="n">
        <f aca="false">IFERROR((J26*1000)/(D26*720)*100,"")</f>
        <v>21.300520232642</v>
      </c>
      <c r="V26" s="7" t="n">
        <f aca="false">IFERROR(L26/N26*100,"")</f>
        <v>52.6811449542768</v>
      </c>
    </row>
    <row r="27" customFormat="false" ht="15" hidden="false" customHeight="false" outlineLevel="0" collapsed="false">
      <c r="A27" s="4" t="s">
        <v>49</v>
      </c>
      <c r="B27" s="4" t="s">
        <v>43</v>
      </c>
      <c r="C27" s="5" t="n">
        <v>35193978</v>
      </c>
      <c r="D27" s="5" t="n">
        <v>5165.1</v>
      </c>
      <c r="E27" s="5" t="n">
        <v>128.1</v>
      </c>
      <c r="F27" s="5" t="n">
        <v>89.67</v>
      </c>
      <c r="G27" s="5" t="n">
        <v>2405.6</v>
      </c>
      <c r="H27" s="5" t="n">
        <v>242.11</v>
      </c>
      <c r="I27" s="5" t="n">
        <f aca="false">SUM(D27:H27)</f>
        <v>8030.58</v>
      </c>
      <c r="J27" s="5" t="n">
        <v>741.71</v>
      </c>
      <c r="K27" s="5" t="n">
        <v>28.282</v>
      </c>
      <c r="L27" s="5" t="n">
        <v>899.66</v>
      </c>
      <c r="M27" s="5" t="n">
        <v>5966.940112336</v>
      </c>
      <c r="N27" s="5" t="n">
        <v>5966.940112336</v>
      </c>
      <c r="O27" s="5" t="n">
        <f aca="false">M27-N27</f>
        <v>0</v>
      </c>
      <c r="P27" s="5" t="n">
        <v>140.45</v>
      </c>
      <c r="Q27" s="5" t="n">
        <v>24824</v>
      </c>
      <c r="R27" s="6" t="n">
        <f aca="false">IFERROR(I27/(C27/1000000),"")</f>
        <v>228.180514291394</v>
      </c>
      <c r="S27" s="6" t="n">
        <f aca="false">IFERROR(L27/(C27/1000000),"")</f>
        <v>25.5628960159036</v>
      </c>
      <c r="T27" s="6" t="n">
        <f aca="false">IFERROR(D27/(P27*1000),"")</f>
        <v>0.0367753648985404</v>
      </c>
      <c r="U27" s="7" t="n">
        <f aca="false">IFERROR((J27*1000)/(D27*720)*100,"")</f>
        <v>19.944488543838</v>
      </c>
      <c r="V27" s="7" t="n">
        <f aca="false">IFERROR(L27/N27*100,"")</f>
        <v>15.0774095778178</v>
      </c>
    </row>
    <row r="28" customFormat="false" ht="15" hidden="false" customHeight="false" outlineLevel="0" collapsed="false">
      <c r="A28" s="4" t="s">
        <v>50</v>
      </c>
      <c r="B28" s="4" t="s">
        <v>51</v>
      </c>
      <c r="C28" s="5" t="n">
        <v>380581</v>
      </c>
      <c r="D28" s="5" t="n">
        <v>32.82</v>
      </c>
      <c r="E28" s="5" t="n">
        <v>0</v>
      </c>
      <c r="F28" s="5" t="n">
        <v>5.25</v>
      </c>
      <c r="G28" s="5" t="n">
        <v>0</v>
      </c>
      <c r="H28" s="5" t="n">
        <v>0</v>
      </c>
      <c r="I28" s="5" t="n">
        <f aca="false">SUM(D28:H28)</f>
        <v>38.07</v>
      </c>
      <c r="J28" s="5" t="n">
        <v>1.55</v>
      </c>
      <c r="K28" s="5" t="n">
        <v>0</v>
      </c>
      <c r="L28" s="5" t="n">
        <v>2.15</v>
      </c>
      <c r="M28" s="5" t="n">
        <v>32.01</v>
      </c>
      <c r="N28" s="5" t="n">
        <v>31.58</v>
      </c>
      <c r="O28" s="5" t="n">
        <f aca="false">M28-N28</f>
        <v>0.43</v>
      </c>
      <c r="P28" s="5" t="n">
        <v>0.59</v>
      </c>
      <c r="Q28" s="5" t="n">
        <v>1278</v>
      </c>
      <c r="R28" s="6" t="n">
        <f aca="false">IFERROR(I28/(C28/1000000),"")</f>
        <v>100.031267982374</v>
      </c>
      <c r="S28" s="6" t="n">
        <f aca="false">IFERROR(L28/(C28/1000000),"")</f>
        <v>5.64925731972957</v>
      </c>
      <c r="T28" s="6" t="n">
        <f aca="false">IFERROR(D28/(P28*1000),"")</f>
        <v>0.0556271186440678</v>
      </c>
      <c r="U28" s="7" t="n">
        <f aca="false">IFERROR((J28*1000)/(D28*720)*100,"")</f>
        <v>6.55934728146794</v>
      </c>
      <c r="V28" s="7" t="n">
        <f aca="false">IFERROR(L28/N28*100,"")</f>
        <v>6.80810639645345</v>
      </c>
    </row>
    <row r="29" customFormat="false" ht="15" hidden="false" customHeight="false" outlineLevel="0" collapsed="false">
      <c r="A29" s="4" t="s">
        <v>52</v>
      </c>
      <c r="B29" s="4" t="s">
        <v>51</v>
      </c>
      <c r="C29" s="5" t="n">
        <v>104099452</v>
      </c>
      <c r="D29" s="5" t="n">
        <v>452.26</v>
      </c>
      <c r="E29" s="5" t="n">
        <v>0</v>
      </c>
      <c r="F29" s="5" t="n">
        <v>70.7</v>
      </c>
      <c r="G29" s="5" t="n">
        <v>0</v>
      </c>
      <c r="H29" s="5" t="n">
        <v>145.22</v>
      </c>
      <c r="I29" s="5" t="n">
        <f aca="false">SUM(D29:H29)</f>
        <v>668.18</v>
      </c>
      <c r="J29" s="5" t="n">
        <v>29.597</v>
      </c>
      <c r="K29" s="5" t="n">
        <v>0</v>
      </c>
      <c r="L29" s="5" t="n">
        <v>33.466</v>
      </c>
      <c r="M29" s="5" t="n">
        <v>4569.37312169572</v>
      </c>
      <c r="N29" s="5" t="n">
        <v>4540.084107062</v>
      </c>
      <c r="O29" s="5" t="n">
        <f aca="false">M29-N29</f>
        <v>29.2890146337204</v>
      </c>
      <c r="P29" s="5" t="n">
        <v>32.99</v>
      </c>
      <c r="Q29" s="5" t="n">
        <v>3650</v>
      </c>
      <c r="R29" s="6" t="n">
        <f aca="false">IFERROR(I29/(C29/1000000),"")</f>
        <v>6.41866971595585</v>
      </c>
      <c r="S29" s="6" t="n">
        <f aca="false">IFERROR(L29/(C29/1000000),"")</f>
        <v>0.321481039112483</v>
      </c>
      <c r="T29" s="6" t="n">
        <f aca="false">IFERROR(D29/(P29*1000),"")</f>
        <v>0.0137090027280994</v>
      </c>
      <c r="U29" s="7" t="n">
        <f aca="false">IFERROR((J29*1000)/(D29*720)*100,"")</f>
        <v>9.08922841826481</v>
      </c>
      <c r="V29" s="7" t="n">
        <f aca="false">IFERROR(L29/N29*100,"")</f>
        <v>0.737122908096447</v>
      </c>
    </row>
    <row r="30" customFormat="false" ht="15" hidden="false" customHeight="false" outlineLevel="0" collapsed="false">
      <c r="A30" s="4" t="s">
        <v>53</v>
      </c>
      <c r="B30" s="4" t="s">
        <v>51</v>
      </c>
      <c r="C30" s="5" t="n">
        <v>32988134</v>
      </c>
      <c r="D30" s="5" t="n">
        <v>304.23</v>
      </c>
      <c r="E30" s="5" t="n">
        <v>0</v>
      </c>
      <c r="F30" s="5" t="n">
        <v>4.05</v>
      </c>
      <c r="G30" s="5" t="n">
        <v>210</v>
      </c>
      <c r="H30" s="5" t="n">
        <v>20.14</v>
      </c>
      <c r="I30" s="5" t="n">
        <f aca="false">SUM(D30:H30)</f>
        <v>538.42</v>
      </c>
      <c r="J30" s="5" t="n">
        <v>1.47</v>
      </c>
      <c r="K30" s="5" t="n">
        <v>0</v>
      </c>
      <c r="L30" s="5" t="n">
        <v>17.5614</v>
      </c>
      <c r="M30" s="5" t="n">
        <v>1432.87953597347</v>
      </c>
      <c r="N30" s="5" t="n">
        <v>1418.578022221</v>
      </c>
      <c r="O30" s="5" t="n">
        <f aca="false">M30-N30</f>
        <v>14.3015137524699</v>
      </c>
      <c r="P30" s="5" t="n">
        <v>51.83</v>
      </c>
      <c r="Q30" s="5"/>
      <c r="R30" s="6" t="n">
        <f aca="false">IFERROR(I30/(C30/1000000),"")</f>
        <v>16.3216264369485</v>
      </c>
      <c r="S30" s="6" t="n">
        <f aca="false">IFERROR(L30/(C30/1000000),"")</f>
        <v>0.532355058337037</v>
      </c>
      <c r="T30" s="6" t="n">
        <f aca="false">IFERROR(D30/(P30*1000),"")</f>
        <v>0.00586976654447231</v>
      </c>
      <c r="U30" s="7" t="n">
        <f aca="false">IFERROR((J30*1000)/(D30*720)*100,"")</f>
        <v>0.671093142249833</v>
      </c>
      <c r="V30" s="7" t="n">
        <f aca="false">IFERROR(L30/N30*100,"")</f>
        <v>1.23795799208174</v>
      </c>
    </row>
    <row r="31" customFormat="false" ht="15" hidden="false" customHeight="false" outlineLevel="0" collapsed="false">
      <c r="A31" s="4" t="s">
        <v>54</v>
      </c>
      <c r="B31" s="4" t="s">
        <v>51</v>
      </c>
      <c r="C31" s="5" t="n">
        <v>41974218</v>
      </c>
      <c r="D31" s="5" t="n">
        <v>1120.97</v>
      </c>
      <c r="E31" s="5" t="n">
        <v>0</v>
      </c>
      <c r="F31" s="5" t="n">
        <v>140.63</v>
      </c>
      <c r="G31" s="5" t="n">
        <v>2154.55</v>
      </c>
      <c r="H31" s="5" t="n">
        <v>64.22</v>
      </c>
      <c r="I31" s="5" t="n">
        <f aca="false">SUM(D31:H31)</f>
        <v>3480.37</v>
      </c>
      <c r="J31" s="5" t="n">
        <v>84.161</v>
      </c>
      <c r="K31" s="5" t="n">
        <v>0</v>
      </c>
      <c r="L31" s="5" t="n">
        <v>495.5787</v>
      </c>
      <c r="M31" s="5" t="n">
        <v>3945.41313662948</v>
      </c>
      <c r="N31" s="5" t="n">
        <v>3940.781969808</v>
      </c>
      <c r="O31" s="5" t="n">
        <f aca="false">M31-N31</f>
        <v>4.63116682147984</v>
      </c>
      <c r="P31" s="5" t="n">
        <v>139.47</v>
      </c>
      <c r="Q31" s="5" t="n">
        <v>8346</v>
      </c>
      <c r="R31" s="6" t="n">
        <f aca="false">IFERROR(I31/(C31/1000000),"")</f>
        <v>82.9168514824981</v>
      </c>
      <c r="S31" s="6" t="n">
        <f aca="false">IFERROR(L31/(C31/1000000),"")</f>
        <v>11.8067405091383</v>
      </c>
      <c r="T31" s="6" t="n">
        <f aca="false">IFERROR(D31/(P31*1000),"")</f>
        <v>0.00803735570373557</v>
      </c>
      <c r="U31" s="7" t="n">
        <f aca="false">IFERROR((J31*1000)/(D31*720)*100,"")</f>
        <v>10.4276008972388</v>
      </c>
      <c r="V31" s="7" t="n">
        <f aca="false">IFERROR(L31/N31*100,"")</f>
        <v>12.5756437122591</v>
      </c>
    </row>
    <row r="32" customFormat="false" ht="15" hidden="false" customHeight="false" outlineLevel="0" collapsed="false">
      <c r="A32" s="4" t="s">
        <v>55</v>
      </c>
      <c r="B32" s="4" t="s">
        <v>51</v>
      </c>
      <c r="C32" s="5" t="n">
        <v>610577</v>
      </c>
      <c r="D32" s="5" t="n">
        <v>7.56</v>
      </c>
      <c r="E32" s="5" t="n">
        <v>0</v>
      </c>
      <c r="F32" s="5" t="n">
        <v>55.11</v>
      </c>
      <c r="G32" s="5" t="n">
        <v>2282</v>
      </c>
      <c r="H32" s="5" t="n">
        <v>0</v>
      </c>
      <c r="I32" s="5" t="n">
        <f aca="false">SUM(D32:H32)</f>
        <v>2344.67</v>
      </c>
      <c r="J32" s="5" t="n">
        <v>0</v>
      </c>
      <c r="K32" s="5" t="n">
        <v>0</v>
      </c>
      <c r="L32" s="5" t="n">
        <v>319.44958</v>
      </c>
      <c r="M32" s="5" t="n">
        <v>42.4899581362105</v>
      </c>
      <c r="N32" s="5" t="n">
        <v>42.478533918</v>
      </c>
      <c r="O32" s="5" t="n">
        <f aca="false">M32-N32</f>
        <v>0.0114242182105002</v>
      </c>
      <c r="P32" s="5" t="n">
        <v>0.25</v>
      </c>
      <c r="Q32" s="5" t="n">
        <v>0</v>
      </c>
      <c r="R32" s="6" t="n">
        <f aca="false">IFERROR(I32/(C32/1000000),"")</f>
        <v>3840.08896502816</v>
      </c>
      <c r="S32" s="6" t="n">
        <f aca="false">IFERROR(L32/(C32/1000000),"")</f>
        <v>523.192946999314</v>
      </c>
      <c r="T32" s="6" t="n">
        <f aca="false">IFERROR(D32/(P32*1000),"")</f>
        <v>0.03024</v>
      </c>
      <c r="U32" s="7" t="n">
        <f aca="false">IFERROR((J32*1000)/(D32*720)*100,"")</f>
        <v>0</v>
      </c>
      <c r="V32" s="7" t="n">
        <f aca="false">IFERROR(L32/N32*100,"")</f>
        <v>752.025907053811</v>
      </c>
    </row>
    <row r="33" customFormat="false" ht="15" hidden="false" customHeight="false" outlineLevel="0" collapsed="false">
      <c r="A33" s="4" t="s">
        <v>56</v>
      </c>
      <c r="B33" s="4" t="s">
        <v>51</v>
      </c>
      <c r="C33" s="5" t="n">
        <v>91276115</v>
      </c>
      <c r="D33" s="5" t="n">
        <v>363.5</v>
      </c>
      <c r="E33" s="5" t="n">
        <v>0</v>
      </c>
      <c r="F33" s="5" t="n">
        <v>98.5</v>
      </c>
      <c r="G33" s="5" t="n">
        <v>1341.2</v>
      </c>
      <c r="H33" s="5" t="n">
        <v>351.86</v>
      </c>
      <c r="I33" s="5" t="n">
        <f aca="false">SUM(D33:H33)</f>
        <v>2155.06</v>
      </c>
      <c r="J33" s="5" t="n">
        <v>40.243</v>
      </c>
      <c r="K33" s="5" t="n">
        <v>0</v>
      </c>
      <c r="L33" s="5" t="n">
        <v>388.451</v>
      </c>
      <c r="M33" s="5" t="n">
        <v>7147.89102080039</v>
      </c>
      <c r="N33" s="5" t="n">
        <v>7136.2930571525</v>
      </c>
      <c r="O33" s="5" t="n">
        <f aca="false">M33-N33</f>
        <v>11.5979636478896</v>
      </c>
      <c r="P33" s="5" t="n">
        <v>22.74</v>
      </c>
      <c r="Q33" s="5" t="n">
        <v>1050</v>
      </c>
      <c r="R33" s="6" t="n">
        <f aca="false">IFERROR(I33/(C33/1000000),"")</f>
        <v>23.6103388055024</v>
      </c>
      <c r="S33" s="6" t="n">
        <f aca="false">IFERROR(L33/(C33/1000000),"")</f>
        <v>4.25577929121983</v>
      </c>
      <c r="T33" s="6" t="n">
        <f aca="false">IFERROR(D33/(P33*1000),"")</f>
        <v>0.0159850483729112</v>
      </c>
      <c r="U33" s="7" t="n">
        <f aca="false">IFERROR((J33*1000)/(D33*720)*100,"")</f>
        <v>15.3763564114321</v>
      </c>
      <c r="V33" s="7" t="n">
        <f aca="false">IFERROR(L33/N33*100,"")</f>
        <v>5.44331625521834</v>
      </c>
    </row>
    <row r="34" customFormat="false" ht="15" hidden="false" customHeight="false" outlineLevel="0" collapsed="false">
      <c r="A34" s="4" t="s">
        <v>57</v>
      </c>
      <c r="B34" s="4" t="s">
        <v>58</v>
      </c>
      <c r="C34" s="5" t="n">
        <v>1383727</v>
      </c>
      <c r="D34" s="5" t="n">
        <v>15.72</v>
      </c>
      <c r="E34" s="5" t="n">
        <v>0</v>
      </c>
      <c r="F34" s="5" t="n">
        <v>140.61</v>
      </c>
      <c r="G34" s="5" t="n">
        <v>2115</v>
      </c>
      <c r="H34" s="5" t="n">
        <v>0</v>
      </c>
      <c r="I34" s="5" t="n">
        <f aca="false">SUM(D34:H34)</f>
        <v>2271.33</v>
      </c>
      <c r="J34" s="5" t="n">
        <v>0.07</v>
      </c>
      <c r="K34" s="5" t="n">
        <v>0</v>
      </c>
      <c r="L34" s="5" t="n">
        <v>911.207</v>
      </c>
      <c r="M34" s="5" t="n">
        <v>84.24</v>
      </c>
      <c r="N34" s="5" t="n">
        <v>84.24</v>
      </c>
      <c r="O34" s="5" t="n">
        <f aca="false">M34-N34</f>
        <v>0</v>
      </c>
      <c r="P34" s="5" t="n">
        <v>0.47</v>
      </c>
      <c r="Q34" s="5" t="n">
        <v>274</v>
      </c>
      <c r="R34" s="6" t="n">
        <f aca="false">IFERROR(I34/(C34/1000000),"")</f>
        <v>1641.4581778053</v>
      </c>
      <c r="S34" s="6" t="n">
        <f aca="false">IFERROR(L34/(C34/1000000),"")</f>
        <v>658.516455919412</v>
      </c>
      <c r="T34" s="6" t="n">
        <f aca="false">IFERROR(D34/(P34*1000),"")</f>
        <v>0.0334468085106383</v>
      </c>
      <c r="U34" s="7" t="n">
        <f aca="false">IFERROR((J34*1000)/(D34*720)*100,"")</f>
        <v>0.618461973423806</v>
      </c>
      <c r="V34" s="7" t="n">
        <f aca="false">IFERROR(L34/N34*100,"")</f>
        <v>1081.67972459639</v>
      </c>
    </row>
    <row r="35" customFormat="false" ht="15" hidden="false" customHeight="false" outlineLevel="0" collapsed="false">
      <c r="A35" s="4" t="s">
        <v>59</v>
      </c>
      <c r="B35" s="4" t="s">
        <v>58</v>
      </c>
      <c r="C35" s="5" t="n">
        <v>31205576</v>
      </c>
      <c r="D35" s="5" t="n">
        <v>687.9</v>
      </c>
      <c r="E35" s="5" t="n">
        <v>0</v>
      </c>
      <c r="F35" s="5" t="n">
        <v>34.11</v>
      </c>
      <c r="G35" s="5" t="n">
        <v>346</v>
      </c>
      <c r="H35" s="5" t="n">
        <v>8</v>
      </c>
      <c r="I35" s="5" t="n">
        <f aca="false">SUM(D35:H35)</f>
        <v>1076.01</v>
      </c>
      <c r="J35" s="5" t="n">
        <v>32.32</v>
      </c>
      <c r="K35" s="5" t="n">
        <v>0</v>
      </c>
      <c r="L35" s="5" t="n">
        <v>268.0577</v>
      </c>
      <c r="M35" s="5" t="n">
        <v>1192.43</v>
      </c>
      <c r="N35" s="5" t="n">
        <v>1192.43</v>
      </c>
      <c r="O35" s="5" t="n">
        <f aca="false">M35-N35</f>
        <v>0</v>
      </c>
      <c r="P35" s="5" t="n">
        <v>19.17</v>
      </c>
      <c r="Q35" s="5" t="n">
        <v>246</v>
      </c>
      <c r="R35" s="6" t="n">
        <f aca="false">IFERROR(I35/(C35/1000000),"")</f>
        <v>34.4813375660811</v>
      </c>
      <c r="S35" s="6" t="n">
        <f aca="false">IFERROR(L35/(C35/1000000),"")</f>
        <v>8.59005775121728</v>
      </c>
      <c r="T35" s="6" t="n">
        <f aca="false">IFERROR(D35/(P35*1000),"")</f>
        <v>0.0358841940532081</v>
      </c>
      <c r="U35" s="7" t="n">
        <f aca="false">IFERROR((J35*1000)/(D35*720)*100,"")</f>
        <v>6.52549627691363</v>
      </c>
      <c r="V35" s="7" t="n">
        <f aca="false">IFERROR(L35/N35*100,"")</f>
        <v>22.4799527016261</v>
      </c>
    </row>
    <row r="36" customFormat="false" ht="15" hidden="false" customHeight="false" outlineLevel="0" collapsed="false">
      <c r="A36" s="4" t="s">
        <v>60</v>
      </c>
      <c r="B36" s="4" t="s">
        <v>58</v>
      </c>
      <c r="C36" s="5" t="n">
        <v>2855794</v>
      </c>
      <c r="D36" s="5" t="n">
        <v>17.56</v>
      </c>
      <c r="E36" s="5" t="n">
        <v>0</v>
      </c>
      <c r="F36" s="5" t="n">
        <v>5.45</v>
      </c>
      <c r="G36" s="5" t="n">
        <v>105</v>
      </c>
      <c r="H36" s="5" t="n">
        <v>0</v>
      </c>
      <c r="I36" s="5" t="n">
        <f aca="false">SUM(D36:H36)</f>
        <v>128.01</v>
      </c>
      <c r="J36" s="5" t="n">
        <v>0.714</v>
      </c>
      <c r="K36" s="5" t="n">
        <v>0</v>
      </c>
      <c r="L36" s="5" t="n">
        <v>36.474</v>
      </c>
      <c r="M36" s="5" t="n">
        <v>93.87</v>
      </c>
      <c r="N36" s="5" t="n">
        <v>93.87</v>
      </c>
      <c r="O36" s="5" t="n">
        <f aca="false">M36-N36</f>
        <v>0</v>
      </c>
      <c r="P36" s="5" t="n">
        <v>2.29</v>
      </c>
      <c r="Q36" s="5" t="n">
        <v>0</v>
      </c>
      <c r="R36" s="6" t="n">
        <f aca="false">IFERROR(I36/(C36/1000000),"")</f>
        <v>44.8246617227993</v>
      </c>
      <c r="S36" s="6" t="n">
        <f aca="false">IFERROR(L36/(C36/1000000),"")</f>
        <v>12.7719296279774</v>
      </c>
      <c r="T36" s="6" t="n">
        <f aca="false">IFERROR(D36/(P36*1000),"")</f>
        <v>0.00766812227074236</v>
      </c>
      <c r="U36" s="7" t="n">
        <f aca="false">IFERROR((J36*1000)/(D36*720)*100,"")</f>
        <v>5.64730447987851</v>
      </c>
      <c r="V36" s="7" t="n">
        <f aca="false">IFERROR(L36/N36*100,"")</f>
        <v>38.8558644934484</v>
      </c>
    </row>
    <row r="37" customFormat="false" ht="15" hidden="false" customHeight="false" outlineLevel="0" collapsed="false">
      <c r="A37" s="4" t="s">
        <v>61</v>
      </c>
      <c r="B37" s="4" t="s">
        <v>58</v>
      </c>
      <c r="C37" s="5" t="n">
        <v>2966889</v>
      </c>
      <c r="D37" s="5" t="n">
        <v>4.28</v>
      </c>
      <c r="E37" s="5" t="n">
        <v>0</v>
      </c>
      <c r="F37" s="5" t="n">
        <v>55.03</v>
      </c>
      <c r="G37" s="5" t="n">
        <v>322</v>
      </c>
      <c r="H37" s="5" t="n">
        <v>13.8</v>
      </c>
      <c r="I37" s="5" t="n">
        <f aca="false">SUM(D37:H37)</f>
        <v>395.11</v>
      </c>
      <c r="J37" s="5" t="n">
        <v>0</v>
      </c>
      <c r="K37" s="5" t="n">
        <v>0</v>
      </c>
      <c r="L37" s="5" t="n">
        <v>131.32</v>
      </c>
      <c r="M37" s="5" t="n">
        <v>165.18</v>
      </c>
      <c r="N37" s="5" t="n">
        <v>165.18</v>
      </c>
      <c r="O37" s="5" t="n">
        <f aca="false">M37-N37</f>
        <v>0</v>
      </c>
      <c r="P37" s="5" t="n">
        <v>14.67</v>
      </c>
      <c r="Q37" s="5" t="n">
        <v>0</v>
      </c>
      <c r="R37" s="6" t="n">
        <f aca="false">IFERROR(I37/(C37/1000000),"")</f>
        <v>133.173165561637</v>
      </c>
      <c r="S37" s="6" t="n">
        <f aca="false">IFERROR(L37/(C37/1000000),"")</f>
        <v>44.2618513870927</v>
      </c>
      <c r="T37" s="6" t="n">
        <f aca="false">IFERROR(D37/(P37*1000),"")</f>
        <v>0.000291751874573961</v>
      </c>
      <c r="U37" s="7" t="n">
        <f aca="false">IFERROR((J37*1000)/(D37*720)*100,"")</f>
        <v>0</v>
      </c>
      <c r="V37" s="7" t="n">
        <f aca="false">IFERROR(L37/N37*100,"")</f>
        <v>79.5011502603221</v>
      </c>
    </row>
    <row r="38" customFormat="false" ht="15" hidden="false" customHeight="false" outlineLevel="0" collapsed="false">
      <c r="A38" s="4" t="s">
        <v>62</v>
      </c>
      <c r="B38" s="4" t="s">
        <v>58</v>
      </c>
      <c r="C38" s="5" t="n">
        <v>1097206</v>
      </c>
      <c r="D38" s="5" t="n">
        <v>34.4</v>
      </c>
      <c r="E38" s="5" t="n">
        <v>0</v>
      </c>
      <c r="F38" s="5" t="n">
        <v>45.47</v>
      </c>
      <c r="G38" s="5" t="n">
        <v>60</v>
      </c>
      <c r="H38" s="5" t="n">
        <v>0</v>
      </c>
      <c r="I38" s="5" t="n">
        <f aca="false">SUM(D38:H38)</f>
        <v>139.87</v>
      </c>
      <c r="J38" s="5" t="n">
        <v>3.8971</v>
      </c>
      <c r="K38" s="5" t="n">
        <v>0</v>
      </c>
      <c r="L38" s="5" t="n">
        <v>19.3071</v>
      </c>
      <c r="M38" s="5" t="n">
        <v>52.74</v>
      </c>
      <c r="N38" s="5" t="n">
        <v>52.74</v>
      </c>
      <c r="O38" s="5" t="n">
        <f aca="false">M38-N38</f>
        <v>0</v>
      </c>
      <c r="P38" s="5" t="n">
        <v>0.61</v>
      </c>
      <c r="Q38" s="5" t="n">
        <v>0</v>
      </c>
      <c r="R38" s="6" t="n">
        <f aca="false">IFERROR(I38/(C38/1000000),"")</f>
        <v>127.478340439261</v>
      </c>
      <c r="S38" s="6" t="n">
        <f aca="false">IFERROR(L38/(C38/1000000),"")</f>
        <v>17.5966044662534</v>
      </c>
      <c r="T38" s="6" t="n">
        <f aca="false">IFERROR(D38/(P38*1000),"")</f>
        <v>0.0563934426229508</v>
      </c>
      <c r="U38" s="7" t="n">
        <f aca="false">IFERROR((J38*1000)/(D38*720)*100,"")</f>
        <v>15.734415374677</v>
      </c>
      <c r="V38" s="7" t="n">
        <f aca="false">IFERROR(L38/N38*100,"")</f>
        <v>36.6080773606371</v>
      </c>
    </row>
    <row r="39" customFormat="false" ht="15" hidden="false" customHeight="false" outlineLevel="0" collapsed="false">
      <c r="A39" s="4" t="s">
        <v>63</v>
      </c>
      <c r="B39" s="4" t="s">
        <v>58</v>
      </c>
      <c r="C39" s="5" t="n">
        <v>1978502</v>
      </c>
      <c r="D39" s="5" t="n">
        <v>3.68</v>
      </c>
      <c r="E39" s="5" t="n">
        <v>0</v>
      </c>
      <c r="F39" s="5" t="n">
        <v>35.07</v>
      </c>
      <c r="G39" s="5" t="n">
        <v>75</v>
      </c>
      <c r="H39" s="5" t="n">
        <v>0</v>
      </c>
      <c r="I39" s="5" t="n">
        <f aca="false">SUM(D39:H39)</f>
        <v>113.75</v>
      </c>
      <c r="J39" s="5" t="n">
        <v>0</v>
      </c>
      <c r="K39" s="5" t="n">
        <v>0</v>
      </c>
      <c r="L39" s="5" t="n">
        <v>20.06</v>
      </c>
      <c r="M39" s="5" t="n">
        <v>86.1</v>
      </c>
      <c r="N39" s="5" t="n">
        <v>86.1</v>
      </c>
      <c r="O39" s="5" t="n">
        <f aca="false">M39-N39</f>
        <v>0</v>
      </c>
      <c r="P39" s="5" t="n">
        <v>0.19</v>
      </c>
      <c r="Q39" s="5" t="n">
        <v>0</v>
      </c>
      <c r="R39" s="6" t="n">
        <f aca="false">IFERROR(I39/(C39/1000000),"")</f>
        <v>57.4929921728661</v>
      </c>
      <c r="S39" s="6" t="n">
        <f aca="false">IFERROR(L39/(C39/1000000),"")</f>
        <v>10.1389839383534</v>
      </c>
      <c r="T39" s="6" t="n">
        <f aca="false">IFERROR(D39/(P39*1000),"")</f>
        <v>0.0193684210526316</v>
      </c>
      <c r="U39" s="7" t="n">
        <f aca="false">IFERROR((J39*1000)/(D39*720)*100,"")</f>
        <v>0</v>
      </c>
      <c r="V39" s="7" t="n">
        <f aca="false">IFERROR(L39/N39*100,"")</f>
        <v>23.2984901277584</v>
      </c>
    </row>
    <row r="40" customFormat="false" ht="15" hidden="false" customHeight="false" outlineLevel="0" collapsed="false">
      <c r="A40" s="4" t="s">
        <v>64</v>
      </c>
      <c r="B40" s="4" t="s">
        <v>58</v>
      </c>
      <c r="C40" s="5" t="n">
        <v>3673917</v>
      </c>
      <c r="D40" s="5" t="n">
        <v>42.62</v>
      </c>
      <c r="E40" s="5" t="n">
        <v>0</v>
      </c>
      <c r="F40" s="5" t="n">
        <v>16.01</v>
      </c>
      <c r="G40" s="5" t="n">
        <v>0</v>
      </c>
      <c r="H40" s="5" t="n">
        <v>0</v>
      </c>
      <c r="I40" s="5" t="n">
        <f aca="false">SUM(D40:H40)</f>
        <v>58.63</v>
      </c>
      <c r="J40" s="5" t="n">
        <v>0.47629696</v>
      </c>
      <c r="K40" s="5" t="n">
        <v>0</v>
      </c>
      <c r="L40" s="5" t="n">
        <v>0.47629696</v>
      </c>
      <c r="M40" s="5" t="n">
        <v>162.61</v>
      </c>
      <c r="N40" s="5" t="n">
        <v>162.61</v>
      </c>
      <c r="O40" s="5" t="n">
        <f aca="false">M40-N40</f>
        <v>0</v>
      </c>
      <c r="P40" s="5" t="n">
        <v>9.11</v>
      </c>
      <c r="Q40" s="5" t="n">
        <v>0</v>
      </c>
      <c r="R40" s="6" t="n">
        <f aca="false">IFERROR(I40/(C40/1000000),"")</f>
        <v>15.9584443524445</v>
      </c>
      <c r="S40" s="6" t="n">
        <f aca="false">IFERROR(L40/(C40/1000000),"")</f>
        <v>0.129642819911283</v>
      </c>
      <c r="T40" s="6" t="n">
        <f aca="false">IFERROR(D40/(P40*1000),"")</f>
        <v>0.00467837541163557</v>
      </c>
      <c r="U40" s="7" t="n">
        <f aca="false">IFERROR((J40*1000)/(D40*720)*100,"")</f>
        <v>1.55214349027582</v>
      </c>
      <c r="V40" s="7" t="n">
        <f aca="false">IFERROR(L40/N40*100,"")</f>
        <v>0.292907545661398</v>
      </c>
    </row>
  </sheetData>
  <mergeCells count="2">
    <mergeCell ref="A1:V1"/>
    <mergeCell ref="A2:V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55"/>
    <col collapsed="false" customWidth="true" hidden="false" outlineLevel="0" max="3" min="3" style="0" width="14"/>
    <col collapsed="false" customWidth="true" hidden="false" outlineLevel="0" max="4" min="4" style="0" width="45"/>
    <col collapsed="false" customWidth="true" hidden="false" outlineLevel="0" max="5" min="5" style="0" width="60"/>
  </cols>
  <sheetData>
    <row r="1" customFormat="false" ht="21.75" hidden="false" customHeight="true" outlineLevel="0" collapsed="false">
      <c r="A1" s="1" t="s">
        <v>65</v>
      </c>
      <c r="B1" s="1"/>
      <c r="C1" s="1"/>
      <c r="D1" s="1"/>
      <c r="E1" s="1"/>
    </row>
    <row r="3" customFormat="false" ht="30" hidden="false" customHeight="true" outlineLevel="0" collapsed="false">
      <c r="A3" s="3" t="s">
        <v>66</v>
      </c>
      <c r="B3" s="3" t="s">
        <v>67</v>
      </c>
      <c r="C3" s="3" t="s">
        <v>68</v>
      </c>
      <c r="D3" s="3" t="s">
        <v>69</v>
      </c>
      <c r="E3" s="3" t="s">
        <v>70</v>
      </c>
    </row>
    <row r="4" customFormat="false" ht="15" hidden="false" customHeight="false" outlineLevel="0" collapsed="false">
      <c r="A4" s="8" t="s">
        <v>2</v>
      </c>
      <c r="B4" s="8" t="s">
        <v>71</v>
      </c>
      <c r="C4" s="8" t="s">
        <v>72</v>
      </c>
      <c r="D4" s="8" t="s">
        <v>73</v>
      </c>
      <c r="E4" s="8" t="s">
        <v>74</v>
      </c>
    </row>
    <row r="5" customFormat="false" ht="23.85" hidden="false" customHeight="false" outlineLevel="0" collapsed="false">
      <c r="A5" s="8" t="s">
        <v>3</v>
      </c>
      <c r="B5" s="8" t="s">
        <v>75</v>
      </c>
      <c r="C5" s="8" t="s">
        <v>72</v>
      </c>
      <c r="D5" s="8" t="s">
        <v>76</v>
      </c>
      <c r="E5" s="8"/>
    </row>
    <row r="6" customFormat="false" ht="35.05" hidden="false" customHeight="false" outlineLevel="0" collapsed="false">
      <c r="A6" s="8" t="s">
        <v>4</v>
      </c>
      <c r="B6" s="8" t="s">
        <v>77</v>
      </c>
      <c r="C6" s="8" t="s">
        <v>78</v>
      </c>
      <c r="D6" s="8" t="s">
        <v>79</v>
      </c>
      <c r="E6" s="8" t="s">
        <v>80</v>
      </c>
    </row>
    <row r="7" customFormat="false" ht="35.05" hidden="false" customHeight="false" outlineLevel="0" collapsed="false">
      <c r="A7" s="8" t="s">
        <v>5</v>
      </c>
      <c r="B7" s="8" t="s">
        <v>81</v>
      </c>
      <c r="C7" s="8" t="s">
        <v>82</v>
      </c>
      <c r="D7" s="8" t="s">
        <v>83</v>
      </c>
      <c r="E7" s="8" t="s">
        <v>84</v>
      </c>
    </row>
    <row r="8" customFormat="false" ht="23.85" hidden="false" customHeight="false" outlineLevel="0" collapsed="false">
      <c r="A8" s="8" t="s">
        <v>6</v>
      </c>
      <c r="B8" s="8" t="s">
        <v>85</v>
      </c>
      <c r="C8" s="8" t="s">
        <v>82</v>
      </c>
      <c r="D8" s="8" t="s">
        <v>86</v>
      </c>
      <c r="E8" s="8" t="s">
        <v>87</v>
      </c>
    </row>
    <row r="9" customFormat="false" ht="15" hidden="false" customHeight="false" outlineLevel="0" collapsed="false">
      <c r="A9" s="8" t="s">
        <v>7</v>
      </c>
      <c r="B9" s="8" t="s">
        <v>88</v>
      </c>
      <c r="C9" s="8" t="s">
        <v>82</v>
      </c>
      <c r="D9" s="8" t="s">
        <v>86</v>
      </c>
      <c r="E9" s="8" t="s">
        <v>89</v>
      </c>
    </row>
    <row r="10" customFormat="false" ht="23.85" hidden="false" customHeight="false" outlineLevel="0" collapsed="false">
      <c r="A10" s="8" t="s">
        <v>8</v>
      </c>
      <c r="B10" s="8" t="s">
        <v>90</v>
      </c>
      <c r="C10" s="8" t="s">
        <v>82</v>
      </c>
      <c r="D10" s="8" t="s">
        <v>86</v>
      </c>
      <c r="E10" s="8" t="s">
        <v>89</v>
      </c>
    </row>
    <row r="11" customFormat="false" ht="23.85" hidden="false" customHeight="false" outlineLevel="0" collapsed="false">
      <c r="A11" s="8" t="s">
        <v>9</v>
      </c>
      <c r="B11" s="8" t="s">
        <v>91</v>
      </c>
      <c r="C11" s="8" t="s">
        <v>82</v>
      </c>
      <c r="D11" s="8" t="s">
        <v>86</v>
      </c>
      <c r="E11" s="8" t="s">
        <v>89</v>
      </c>
    </row>
    <row r="12" customFormat="false" ht="35.05" hidden="false" customHeight="false" outlineLevel="0" collapsed="false">
      <c r="A12" s="8" t="s">
        <v>10</v>
      </c>
      <c r="B12" s="8" t="s">
        <v>92</v>
      </c>
      <c r="C12" s="8" t="s">
        <v>82</v>
      </c>
      <c r="D12" s="8" t="s">
        <v>93</v>
      </c>
      <c r="E12" s="8" t="s">
        <v>94</v>
      </c>
    </row>
    <row r="13" customFormat="false" ht="46.25" hidden="false" customHeight="false" outlineLevel="0" collapsed="false">
      <c r="A13" s="8" t="s">
        <v>95</v>
      </c>
      <c r="B13" s="8" t="s">
        <v>96</v>
      </c>
      <c r="C13" s="8" t="s">
        <v>97</v>
      </c>
      <c r="D13" s="8" t="s">
        <v>98</v>
      </c>
      <c r="E13" s="8" t="s">
        <v>99</v>
      </c>
    </row>
    <row r="14" customFormat="false" ht="46.25" hidden="false" customHeight="false" outlineLevel="0" collapsed="false">
      <c r="A14" s="8" t="s">
        <v>100</v>
      </c>
      <c r="B14" s="8" t="s">
        <v>101</v>
      </c>
      <c r="C14" s="8" t="s">
        <v>102</v>
      </c>
      <c r="D14" s="8" t="s">
        <v>103</v>
      </c>
      <c r="E14" s="8" t="s">
        <v>104</v>
      </c>
    </row>
    <row r="15" customFormat="false" ht="23.85" hidden="false" customHeight="false" outlineLevel="0" collapsed="false">
      <c r="A15" s="8" t="s">
        <v>16</v>
      </c>
      <c r="B15" s="8" t="s">
        <v>105</v>
      </c>
      <c r="C15" s="8" t="s">
        <v>102</v>
      </c>
      <c r="D15" s="8" t="s">
        <v>106</v>
      </c>
      <c r="E15" s="8" t="s">
        <v>107</v>
      </c>
    </row>
    <row r="16" customFormat="false" ht="46.25" hidden="false" customHeight="false" outlineLevel="0" collapsed="false">
      <c r="A16" s="8" t="s">
        <v>17</v>
      </c>
      <c r="B16" s="8" t="s">
        <v>108</v>
      </c>
      <c r="C16" s="8" t="s">
        <v>109</v>
      </c>
      <c r="D16" s="8" t="s">
        <v>110</v>
      </c>
      <c r="E16" s="8" t="s">
        <v>111</v>
      </c>
    </row>
    <row r="17" customFormat="false" ht="15" hidden="false" customHeight="false" outlineLevel="0" collapsed="false">
      <c r="A17" s="8" t="s">
        <v>18</v>
      </c>
      <c r="B17" s="8" t="s">
        <v>112</v>
      </c>
      <c r="C17" s="8" t="s">
        <v>82</v>
      </c>
      <c r="D17" s="8" t="s">
        <v>113</v>
      </c>
      <c r="E17" s="8" t="s">
        <v>114</v>
      </c>
    </row>
    <row r="18" customFormat="false" ht="46.25" hidden="false" customHeight="false" outlineLevel="0" collapsed="false">
      <c r="A18" s="8" t="s">
        <v>19</v>
      </c>
      <c r="B18" s="8" t="s">
        <v>115</v>
      </c>
      <c r="C18" s="8" t="s">
        <v>116</v>
      </c>
      <c r="D18" s="8" t="s">
        <v>106</v>
      </c>
      <c r="E18" s="8" t="s">
        <v>117</v>
      </c>
    </row>
    <row r="19" customFormat="false" ht="35.05" hidden="false" customHeight="false" outlineLevel="0" collapsed="false">
      <c r="A19" s="8" t="s">
        <v>20</v>
      </c>
      <c r="B19" s="8" t="s">
        <v>118</v>
      </c>
      <c r="C19" s="8" t="s">
        <v>119</v>
      </c>
      <c r="D19" s="8" t="s">
        <v>106</v>
      </c>
      <c r="E19" s="8" t="s">
        <v>120</v>
      </c>
    </row>
    <row r="20" customFormat="false" ht="35.05" hidden="false" customHeight="false" outlineLevel="0" collapsed="false">
      <c r="A20" s="8" t="s">
        <v>21</v>
      </c>
      <c r="B20" s="8" t="s">
        <v>121</v>
      </c>
      <c r="C20" s="8" t="s">
        <v>122</v>
      </c>
      <c r="D20" s="8" t="s">
        <v>106</v>
      </c>
      <c r="E20" s="8" t="s">
        <v>123</v>
      </c>
    </row>
    <row r="21" customFormat="false" ht="35.05" hidden="false" customHeight="false" outlineLevel="0" collapsed="false">
      <c r="A21" s="8" t="s">
        <v>22</v>
      </c>
      <c r="B21" s="8" t="s">
        <v>124</v>
      </c>
      <c r="C21" s="8" t="s">
        <v>125</v>
      </c>
      <c r="D21" s="8" t="s">
        <v>106</v>
      </c>
      <c r="E21" s="8" t="s">
        <v>126</v>
      </c>
    </row>
    <row r="22" customFormat="false" ht="57.45" hidden="false" customHeight="false" outlineLevel="0" collapsed="false">
      <c r="A22" s="8" t="s">
        <v>23</v>
      </c>
      <c r="B22" s="8" t="s">
        <v>127</v>
      </c>
      <c r="C22" s="8" t="s">
        <v>125</v>
      </c>
      <c r="D22" s="8" t="s">
        <v>106</v>
      </c>
      <c r="E22" s="8" t="s">
        <v>128</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32"/>
    <col collapsed="false" customWidth="true" hidden="false" outlineLevel="0" max="4" min="4" style="0" width="26"/>
    <col collapsed="false" customWidth="true" hidden="false" outlineLevel="0" max="5" min="5" style="0" width="70"/>
  </cols>
  <sheetData>
    <row r="1" customFormat="false" ht="21.75" hidden="false" customHeight="true" outlineLevel="0" collapsed="false">
      <c r="A1" s="1" t="s">
        <v>129</v>
      </c>
      <c r="B1" s="1"/>
      <c r="C1" s="1"/>
      <c r="D1" s="1"/>
      <c r="E1" s="1"/>
    </row>
    <row r="2" customFormat="false" ht="15" hidden="false" customHeight="false" outlineLevel="0" collapsed="false">
      <c r="A2" s="2" t="s">
        <v>130</v>
      </c>
      <c r="B2" s="2"/>
      <c r="C2" s="2"/>
      <c r="D2" s="2"/>
      <c r="E2" s="2"/>
    </row>
    <row r="4" customFormat="false" ht="25.5" hidden="false" customHeight="true" outlineLevel="0" collapsed="false">
      <c r="A4" s="3" t="s">
        <v>131</v>
      </c>
      <c r="B4" s="3" t="s">
        <v>132</v>
      </c>
      <c r="C4" s="3" t="s">
        <v>133</v>
      </c>
      <c r="D4" s="3" t="s">
        <v>134</v>
      </c>
      <c r="E4" s="3" t="s">
        <v>135</v>
      </c>
    </row>
    <row r="5" customFormat="false" ht="42" hidden="false" customHeight="true" outlineLevel="0" collapsed="false">
      <c r="A5" s="4" t="s">
        <v>136</v>
      </c>
      <c r="B5" s="4" t="s">
        <v>137</v>
      </c>
      <c r="C5" s="8" t="s">
        <v>138</v>
      </c>
      <c r="D5" s="8" t="s">
        <v>139</v>
      </c>
      <c r="E5" s="8" t="s">
        <v>140</v>
      </c>
    </row>
    <row r="6" customFormat="false" ht="42" hidden="false" customHeight="true" outlineLevel="0" collapsed="false">
      <c r="A6" s="4" t="s">
        <v>136</v>
      </c>
      <c r="B6" s="4" t="s">
        <v>141</v>
      </c>
      <c r="C6" s="8" t="s">
        <v>142</v>
      </c>
      <c r="D6" s="8" t="s">
        <v>143</v>
      </c>
      <c r="E6" s="8" t="s">
        <v>144</v>
      </c>
    </row>
    <row r="7" customFormat="false" ht="42" hidden="false" customHeight="true" outlineLevel="0" collapsed="false">
      <c r="A7" s="4" t="s">
        <v>136</v>
      </c>
      <c r="B7" s="4" t="s">
        <v>141</v>
      </c>
      <c r="C7" s="8" t="s">
        <v>145</v>
      </c>
      <c r="D7" s="8" t="s">
        <v>146</v>
      </c>
      <c r="E7" s="8" t="s">
        <v>147</v>
      </c>
    </row>
    <row r="8" customFormat="false" ht="42" hidden="false" customHeight="true" outlineLevel="0" collapsed="false">
      <c r="A8" s="4" t="s">
        <v>148</v>
      </c>
      <c r="B8" s="4" t="s">
        <v>149</v>
      </c>
      <c r="C8" s="8" t="s">
        <v>150</v>
      </c>
      <c r="D8" s="8" t="s">
        <v>151</v>
      </c>
      <c r="E8" s="8" t="s">
        <v>152</v>
      </c>
    </row>
    <row r="9" customFormat="false" ht="42" hidden="false" customHeight="true" outlineLevel="0" collapsed="false">
      <c r="A9" s="4" t="s">
        <v>148</v>
      </c>
      <c r="B9" s="4" t="s">
        <v>149</v>
      </c>
      <c r="C9" s="8" t="s">
        <v>153</v>
      </c>
      <c r="D9" s="8" t="s">
        <v>154</v>
      </c>
      <c r="E9" s="8" t="s">
        <v>155</v>
      </c>
    </row>
    <row r="10" customFormat="false" ht="42" hidden="false" customHeight="true" outlineLevel="0" collapsed="false">
      <c r="A10" s="4" t="s">
        <v>148</v>
      </c>
      <c r="B10" s="4" t="s">
        <v>149</v>
      </c>
      <c r="C10" s="8" t="s">
        <v>156</v>
      </c>
      <c r="D10" s="8" t="s">
        <v>154</v>
      </c>
      <c r="E10" s="8" t="s">
        <v>155</v>
      </c>
    </row>
    <row r="11" customFormat="false" ht="42" hidden="false" customHeight="true" outlineLevel="0" collapsed="false">
      <c r="A11" s="4" t="s">
        <v>148</v>
      </c>
      <c r="B11" s="4" t="s">
        <v>149</v>
      </c>
      <c r="C11" s="8" t="s">
        <v>157</v>
      </c>
      <c r="D11" s="8" t="s">
        <v>151</v>
      </c>
      <c r="E11" s="8" t="s">
        <v>158</v>
      </c>
    </row>
    <row r="12" customFormat="false" ht="42" hidden="false" customHeight="true" outlineLevel="0" collapsed="false">
      <c r="A12" s="4" t="s">
        <v>148</v>
      </c>
      <c r="B12" s="4" t="s">
        <v>149</v>
      </c>
      <c r="C12" s="8" t="s">
        <v>29</v>
      </c>
      <c r="D12" s="8" t="s">
        <v>159</v>
      </c>
      <c r="E12" s="8" t="s">
        <v>160</v>
      </c>
    </row>
    <row r="13" customFormat="false" ht="42" hidden="false" customHeight="true" outlineLevel="0" collapsed="false">
      <c r="A13" s="4" t="s">
        <v>161</v>
      </c>
      <c r="B13" s="4" t="s">
        <v>110</v>
      </c>
      <c r="C13" s="8" t="s">
        <v>162</v>
      </c>
      <c r="D13" s="8" t="s">
        <v>151</v>
      </c>
      <c r="E13" s="8" t="s">
        <v>163</v>
      </c>
    </row>
    <row r="14" customFormat="false" ht="42" hidden="false" customHeight="true" outlineLevel="0" collapsed="false">
      <c r="A14" s="4" t="s">
        <v>161</v>
      </c>
      <c r="B14" s="4" t="s">
        <v>110</v>
      </c>
      <c r="C14" s="8" t="s">
        <v>157</v>
      </c>
      <c r="D14" s="8" t="s">
        <v>151</v>
      </c>
      <c r="E14" s="8" t="s">
        <v>158</v>
      </c>
    </row>
    <row r="15" customFormat="false" ht="42" hidden="false" customHeight="true" outlineLevel="0" collapsed="false">
      <c r="A15" s="4" t="s">
        <v>161</v>
      </c>
      <c r="B15" s="4" t="s">
        <v>110</v>
      </c>
      <c r="C15" s="8" t="s">
        <v>164</v>
      </c>
      <c r="D15" s="8" t="s">
        <v>151</v>
      </c>
      <c r="E15" s="8" t="s">
        <v>165</v>
      </c>
    </row>
    <row r="16" customFormat="false" ht="42" hidden="false" customHeight="true" outlineLevel="0" collapsed="false">
      <c r="A16" s="4" t="s">
        <v>166</v>
      </c>
      <c r="B16" s="4" t="s">
        <v>167</v>
      </c>
      <c r="C16" s="8" t="s">
        <v>157</v>
      </c>
      <c r="D16" s="8" t="s">
        <v>151</v>
      </c>
      <c r="E16" s="8" t="s">
        <v>158</v>
      </c>
    </row>
    <row r="17" customFormat="false" ht="42" hidden="false" customHeight="true" outlineLevel="0" collapsed="false">
      <c r="A17" s="4" t="s">
        <v>166</v>
      </c>
      <c r="B17" s="4" t="s">
        <v>167</v>
      </c>
      <c r="C17" s="8" t="s">
        <v>168</v>
      </c>
      <c r="D17" s="8" t="s">
        <v>151</v>
      </c>
      <c r="E17" s="8" t="s">
        <v>163</v>
      </c>
    </row>
    <row r="18" customFormat="false" ht="42" hidden="false" customHeight="true" outlineLevel="0" collapsed="false">
      <c r="A18" s="4" t="s">
        <v>169</v>
      </c>
      <c r="B18" s="4" t="s">
        <v>170</v>
      </c>
      <c r="C18" s="8" t="s">
        <v>171</v>
      </c>
      <c r="D18" s="8" t="s">
        <v>151</v>
      </c>
      <c r="E18" s="8" t="s">
        <v>158</v>
      </c>
    </row>
    <row r="19" customFormat="false" ht="42" hidden="false" customHeight="true" outlineLevel="0" collapsed="false">
      <c r="A19" s="4" t="s">
        <v>169</v>
      </c>
      <c r="B19" s="4" t="s">
        <v>170</v>
      </c>
      <c r="C19" s="8" t="s">
        <v>172</v>
      </c>
      <c r="D19" s="8" t="s">
        <v>151</v>
      </c>
      <c r="E19" s="8" t="s">
        <v>152</v>
      </c>
    </row>
    <row r="20" customFormat="false" ht="42" hidden="false" customHeight="true" outlineLevel="0" collapsed="false">
      <c r="A20" s="4" t="s">
        <v>169</v>
      </c>
      <c r="B20" s="4" t="s">
        <v>170</v>
      </c>
      <c r="C20" s="8" t="s">
        <v>173</v>
      </c>
      <c r="D20" s="8" t="s">
        <v>151</v>
      </c>
      <c r="E20" s="8" t="s">
        <v>174</v>
      </c>
    </row>
    <row r="21" customFormat="false" ht="42" hidden="false" customHeight="true" outlineLevel="0" collapsed="false">
      <c r="A21" s="4" t="s">
        <v>175</v>
      </c>
      <c r="B21" s="4" t="s">
        <v>176</v>
      </c>
      <c r="C21" s="8" t="s">
        <v>177</v>
      </c>
      <c r="D21" s="8" t="s">
        <v>151</v>
      </c>
      <c r="E21" s="8" t="s">
        <v>158</v>
      </c>
    </row>
    <row r="22" customFormat="false" ht="42" hidden="false" customHeight="true" outlineLevel="0" collapsed="false">
      <c r="A22" s="4" t="s">
        <v>175</v>
      </c>
      <c r="B22" s="4" t="s">
        <v>176</v>
      </c>
      <c r="C22" s="8" t="s">
        <v>178</v>
      </c>
      <c r="D22" s="8" t="s">
        <v>179</v>
      </c>
      <c r="E22" s="8" t="s">
        <v>180</v>
      </c>
    </row>
    <row r="23" customFormat="false" ht="42" hidden="false" customHeight="true" outlineLevel="0" collapsed="false">
      <c r="A23" s="4" t="s">
        <v>175</v>
      </c>
      <c r="B23" s="4" t="s">
        <v>176</v>
      </c>
      <c r="C23" s="8" t="s">
        <v>181</v>
      </c>
      <c r="D23" s="8" t="s">
        <v>146</v>
      </c>
      <c r="E23" s="8" t="s">
        <v>182</v>
      </c>
    </row>
    <row r="24" customFormat="false" ht="42" hidden="false" customHeight="true" outlineLevel="0" collapsed="false">
      <c r="A24" s="4" t="s">
        <v>175</v>
      </c>
      <c r="B24" s="4" t="s">
        <v>176</v>
      </c>
      <c r="C24" s="8" t="s">
        <v>183</v>
      </c>
      <c r="D24" s="8" t="s">
        <v>146</v>
      </c>
      <c r="E24" s="8" t="s">
        <v>182</v>
      </c>
    </row>
    <row r="25" customFormat="false" ht="42" hidden="false" customHeight="true" outlineLevel="0" collapsed="false">
      <c r="A25" s="4" t="s">
        <v>175</v>
      </c>
      <c r="B25" s="4" t="s">
        <v>176</v>
      </c>
      <c r="C25" s="8" t="s">
        <v>184</v>
      </c>
      <c r="D25" s="8" t="s">
        <v>151</v>
      </c>
      <c r="E25" s="8" t="s">
        <v>152</v>
      </c>
    </row>
    <row r="26" customFormat="false" ht="42" hidden="false" customHeight="true" outlineLevel="0" collapsed="false">
      <c r="A26" s="4" t="s">
        <v>175</v>
      </c>
      <c r="B26" s="4" t="s">
        <v>176</v>
      </c>
      <c r="C26" s="8" t="s">
        <v>185</v>
      </c>
      <c r="D26" s="8" t="s">
        <v>151</v>
      </c>
      <c r="E26" s="8" t="s">
        <v>163</v>
      </c>
    </row>
    <row r="27" customFormat="false" ht="42" hidden="false" customHeight="true" outlineLevel="0" collapsed="false">
      <c r="A27" s="4" t="s">
        <v>186</v>
      </c>
      <c r="B27" s="4" t="s">
        <v>176</v>
      </c>
      <c r="C27" s="8" t="s">
        <v>142</v>
      </c>
      <c r="D27" s="8" t="s">
        <v>187</v>
      </c>
      <c r="E27" s="8" t="s">
        <v>188</v>
      </c>
    </row>
    <row r="28" customFormat="false" ht="42" hidden="false" customHeight="true" outlineLevel="0" collapsed="false">
      <c r="A28" s="4" t="s">
        <v>189</v>
      </c>
      <c r="B28" s="4" t="s">
        <v>190</v>
      </c>
      <c r="C28" s="8" t="s">
        <v>191</v>
      </c>
      <c r="D28" s="8" t="s">
        <v>192</v>
      </c>
      <c r="E28" s="8" t="s">
        <v>193</v>
      </c>
    </row>
    <row r="29" customFormat="false" ht="42" hidden="false" customHeight="true" outlineLevel="0" collapsed="false">
      <c r="A29" s="4" t="s">
        <v>189</v>
      </c>
      <c r="B29" s="4" t="s">
        <v>190</v>
      </c>
      <c r="C29" s="8" t="s">
        <v>194</v>
      </c>
      <c r="D29" s="8" t="s">
        <v>192</v>
      </c>
      <c r="E29" s="8" t="s">
        <v>193</v>
      </c>
    </row>
    <row r="30" customFormat="false" ht="42" hidden="false" customHeight="true" outlineLevel="0" collapsed="false">
      <c r="A30" s="4" t="s">
        <v>195</v>
      </c>
      <c r="B30" s="4" t="s">
        <v>196</v>
      </c>
      <c r="C30" s="8" t="s">
        <v>142</v>
      </c>
      <c r="D30" s="8" t="s">
        <v>197</v>
      </c>
      <c r="E30" s="8" t="s">
        <v>198</v>
      </c>
    </row>
    <row r="31" customFormat="false" ht="42" hidden="false" customHeight="true" outlineLevel="0" collapsed="false">
      <c r="A31" s="4" t="s">
        <v>195</v>
      </c>
      <c r="B31" s="4" t="s">
        <v>199</v>
      </c>
      <c r="C31" s="8" t="s">
        <v>142</v>
      </c>
      <c r="D31" s="8" t="s">
        <v>200</v>
      </c>
      <c r="E31" s="8" t="s">
        <v>201</v>
      </c>
    </row>
    <row r="32" customFormat="false" ht="42" hidden="false" customHeight="true" outlineLevel="0" collapsed="false">
      <c r="A32" s="4" t="s">
        <v>195</v>
      </c>
      <c r="B32" s="4" t="s">
        <v>202</v>
      </c>
      <c r="C32" s="8" t="s">
        <v>142</v>
      </c>
      <c r="D32" s="8" t="s">
        <v>200</v>
      </c>
      <c r="E32" s="8" t="s">
        <v>203</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30"/>
  </cols>
  <sheetData>
    <row r="1" customFormat="false" ht="21.75" hidden="false" customHeight="true" outlineLevel="0" collapsed="false">
      <c r="A1" s="1" t="s">
        <v>204</v>
      </c>
      <c r="B1" s="1"/>
    </row>
    <row r="3" customFormat="false" ht="25.5" hidden="false" customHeight="true" outlineLevel="0" collapsed="false">
      <c r="A3" s="3" t="s">
        <v>205</v>
      </c>
      <c r="B3" s="3" t="s">
        <v>135</v>
      </c>
    </row>
    <row r="4" customFormat="false" ht="45" hidden="false" customHeight="true" outlineLevel="0" collapsed="false">
      <c r="A4" s="4" t="s">
        <v>206</v>
      </c>
      <c r="B4" s="8" t="s">
        <v>207</v>
      </c>
    </row>
    <row r="5" customFormat="false" ht="45" hidden="false" customHeight="true" outlineLevel="0" collapsed="false">
      <c r="A5" s="4" t="s">
        <v>208</v>
      </c>
      <c r="B5" s="8" t="s">
        <v>209</v>
      </c>
    </row>
    <row r="6" customFormat="false" ht="45" hidden="false" customHeight="true" outlineLevel="0" collapsed="false">
      <c r="A6" s="4" t="s">
        <v>210</v>
      </c>
      <c r="B6" s="8" t="s">
        <v>211</v>
      </c>
    </row>
    <row r="7" customFormat="false" ht="45" hidden="false" customHeight="true" outlineLevel="0" collapsed="false">
      <c r="A7" s="4" t="s">
        <v>212</v>
      </c>
      <c r="B7" s="8" t="s">
        <v>213</v>
      </c>
    </row>
    <row r="8" customFormat="false" ht="45" hidden="false" customHeight="true" outlineLevel="0" collapsed="false">
      <c r="A8" s="4" t="s">
        <v>214</v>
      </c>
      <c r="B8" s="8" t="s">
        <v>215</v>
      </c>
    </row>
    <row r="9" customFormat="false" ht="45" hidden="false" customHeight="true" outlineLevel="0" collapsed="false">
      <c r="A9" s="4" t="s">
        <v>216</v>
      </c>
      <c r="B9" s="8" t="s">
        <v>217</v>
      </c>
    </row>
    <row r="10" customFormat="false" ht="45" hidden="false" customHeight="true" outlineLevel="0" collapsed="false">
      <c r="A10" s="4" t="s">
        <v>218</v>
      </c>
      <c r="B10" s="8" t="s">
        <v>219</v>
      </c>
    </row>
    <row r="11" customFormat="false" ht="45" hidden="false" customHeight="true" outlineLevel="0" collapsed="false">
      <c r="A11" s="4" t="s">
        <v>220</v>
      </c>
      <c r="B11" s="8" t="s">
        <v>221</v>
      </c>
    </row>
    <row r="12" customFormat="false" ht="45" hidden="false" customHeight="true" outlineLevel="0" collapsed="false">
      <c r="A12" s="4" t="s">
        <v>222</v>
      </c>
      <c r="B12" s="8" t="s">
        <v>223</v>
      </c>
    </row>
    <row r="13" customFormat="false" ht="45" hidden="false" customHeight="true" outlineLevel="0" collapsed="false">
      <c r="A13" s="4" t="s">
        <v>224</v>
      </c>
      <c r="B13" s="8" t="s">
        <v>225</v>
      </c>
    </row>
    <row r="14" customFormat="false" ht="45" hidden="false" customHeight="true" outlineLevel="0" collapsed="false">
      <c r="A14" s="4" t="s">
        <v>226</v>
      </c>
      <c r="B14" s="8" t="s">
        <v>227</v>
      </c>
    </row>
    <row r="15" customFormat="false" ht="45" hidden="false" customHeight="true" outlineLevel="0" collapsed="false">
      <c r="A15" s="4" t="s">
        <v>228</v>
      </c>
      <c r="B15" s="8" t="s">
        <v>229</v>
      </c>
    </row>
    <row r="16" customFormat="false" ht="45" hidden="false" customHeight="true" outlineLevel="0" collapsed="false">
      <c r="A16" s="4" t="s">
        <v>230</v>
      </c>
      <c r="B16" s="8" t="s">
        <v>231</v>
      </c>
    </row>
    <row r="17" customFormat="false" ht="45" hidden="false" customHeight="true" outlineLevel="0" collapsed="false">
      <c r="A17" s="4" t="s">
        <v>232</v>
      </c>
      <c r="B17" s="8" t="s">
        <v>233</v>
      </c>
    </row>
    <row r="18" customFormat="false" ht="45" hidden="false" customHeight="true" outlineLevel="0" collapsed="false">
      <c r="A18" s="4" t="s">
        <v>234</v>
      </c>
      <c r="B18" s="8" t="s">
        <v>235</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3" min="3" style="0" width="45"/>
    <col collapsed="false" customWidth="true" hidden="false" outlineLevel="0" max="4" min="4" style="0" width="42"/>
    <col collapsed="false" customWidth="true" hidden="false" outlineLevel="0" max="5" min="5" style="0" width="60"/>
  </cols>
  <sheetData>
    <row r="1" customFormat="false" ht="21.75" hidden="false" customHeight="true" outlineLevel="0" collapsed="false">
      <c r="A1" s="1" t="s">
        <v>236</v>
      </c>
      <c r="B1" s="1"/>
      <c r="C1" s="1"/>
      <c r="D1" s="1"/>
      <c r="E1" s="1"/>
    </row>
    <row r="2" customFormat="false" ht="15" hidden="false" customHeight="false" outlineLevel="0" collapsed="false">
      <c r="A2" s="2" t="s">
        <v>237</v>
      </c>
      <c r="B2" s="2"/>
      <c r="C2" s="2"/>
      <c r="D2" s="2"/>
      <c r="E2" s="2"/>
    </row>
    <row r="4" customFormat="false" ht="25.5" hidden="false" customHeight="true" outlineLevel="0" collapsed="false">
      <c r="A4" s="3" t="s">
        <v>238</v>
      </c>
      <c r="B4" s="3" t="s">
        <v>3</v>
      </c>
      <c r="C4" s="3" t="s">
        <v>239</v>
      </c>
      <c r="D4" s="3" t="s">
        <v>132</v>
      </c>
      <c r="E4" s="3" t="s">
        <v>70</v>
      </c>
    </row>
    <row r="5" customFormat="false" ht="15" hidden="false" customHeight="false" outlineLevel="0" collapsed="false">
      <c r="A5" s="4" t="s">
        <v>50</v>
      </c>
      <c r="B5" s="4" t="s">
        <v>51</v>
      </c>
      <c r="C5" s="8" t="s">
        <v>150</v>
      </c>
      <c r="D5" s="8" t="s">
        <v>149</v>
      </c>
      <c r="E5" s="8" t="s">
        <v>152</v>
      </c>
    </row>
    <row r="6" customFormat="false" ht="23.85" hidden="false" customHeight="false" outlineLevel="0" collapsed="false">
      <c r="A6" s="4"/>
      <c r="B6" s="4"/>
      <c r="C6" s="8" t="s">
        <v>153</v>
      </c>
      <c r="D6" s="8" t="s">
        <v>149</v>
      </c>
      <c r="E6" s="8" t="s">
        <v>240</v>
      </c>
    </row>
    <row r="7" customFormat="false" ht="23.85" hidden="false" customHeight="false" outlineLevel="0" collapsed="false">
      <c r="A7" s="4"/>
      <c r="B7" s="4"/>
      <c r="C7" s="8" t="s">
        <v>156</v>
      </c>
      <c r="D7" s="8" t="s">
        <v>149</v>
      </c>
      <c r="E7" s="8" t="s">
        <v>240</v>
      </c>
    </row>
    <row r="8" customFormat="false" ht="15" hidden="false" customHeight="false" outlineLevel="0" collapsed="false">
      <c r="A8" s="4" t="s">
        <v>26</v>
      </c>
      <c r="B8" s="4" t="s">
        <v>25</v>
      </c>
      <c r="C8" s="8" t="s">
        <v>157</v>
      </c>
      <c r="D8" s="8" t="s">
        <v>149</v>
      </c>
      <c r="E8" s="8" t="s">
        <v>158</v>
      </c>
    </row>
    <row r="9" customFormat="false" ht="15" hidden="false" customHeight="false" outlineLevel="0" collapsed="false">
      <c r="A9" s="4"/>
      <c r="B9" s="4"/>
      <c r="C9" s="8" t="s">
        <v>29</v>
      </c>
      <c r="D9" s="8" t="s">
        <v>149</v>
      </c>
      <c r="E9" s="8" t="s">
        <v>241</v>
      </c>
    </row>
    <row r="10" customFormat="false" ht="15" hidden="false" customHeight="false" outlineLevel="0" collapsed="false">
      <c r="A10" s="4" t="s">
        <v>37</v>
      </c>
      <c r="B10" s="4" t="s">
        <v>36</v>
      </c>
      <c r="C10" s="8" t="s">
        <v>162</v>
      </c>
      <c r="D10" s="8" t="s">
        <v>110</v>
      </c>
      <c r="E10" s="8" t="s">
        <v>163</v>
      </c>
    </row>
    <row r="11" customFormat="false" ht="15" hidden="false" customHeight="false" outlineLevel="0" collapsed="false">
      <c r="A11" s="4" t="s">
        <v>26</v>
      </c>
      <c r="B11" s="4" t="s">
        <v>25</v>
      </c>
      <c r="C11" s="8" t="s">
        <v>157</v>
      </c>
      <c r="D11" s="8" t="s">
        <v>110</v>
      </c>
      <c r="E11" s="8" t="s">
        <v>158</v>
      </c>
    </row>
    <row r="12" customFormat="false" ht="15" hidden="false" customHeight="false" outlineLevel="0" collapsed="false">
      <c r="A12" s="4" t="s">
        <v>29</v>
      </c>
      <c r="B12" s="4" t="s">
        <v>25</v>
      </c>
      <c r="C12" s="8" t="s">
        <v>164</v>
      </c>
      <c r="D12" s="8" t="s">
        <v>110</v>
      </c>
      <c r="E12" s="8" t="s">
        <v>165</v>
      </c>
    </row>
    <row r="13" customFormat="false" ht="15" hidden="false" customHeight="false" outlineLevel="0" collapsed="false">
      <c r="A13" s="4" t="s">
        <v>26</v>
      </c>
      <c r="B13" s="4" t="s">
        <v>25</v>
      </c>
      <c r="C13" s="8" t="s">
        <v>157</v>
      </c>
      <c r="D13" s="8" t="s">
        <v>167</v>
      </c>
      <c r="E13" s="8" t="s">
        <v>158</v>
      </c>
    </row>
    <row r="14" customFormat="false" ht="15" hidden="false" customHeight="false" outlineLevel="0" collapsed="false">
      <c r="A14" s="4" t="s">
        <v>37</v>
      </c>
      <c r="B14" s="4" t="s">
        <v>36</v>
      </c>
      <c r="C14" s="8" t="s">
        <v>168</v>
      </c>
      <c r="D14" s="8" t="s">
        <v>167</v>
      </c>
      <c r="E14" s="8" t="s">
        <v>163</v>
      </c>
    </row>
    <row r="15" customFormat="false" ht="15" hidden="false" customHeight="false" outlineLevel="0" collapsed="false">
      <c r="A15" s="4" t="s">
        <v>26</v>
      </c>
      <c r="B15" s="4" t="s">
        <v>25</v>
      </c>
      <c r="C15" s="8" t="s">
        <v>171</v>
      </c>
      <c r="D15" s="8" t="s">
        <v>170</v>
      </c>
      <c r="E15" s="8" t="s">
        <v>158</v>
      </c>
    </row>
    <row r="16" customFormat="false" ht="15" hidden="false" customHeight="false" outlineLevel="0" collapsed="false">
      <c r="A16" s="4" t="s">
        <v>50</v>
      </c>
      <c r="B16" s="4" t="s">
        <v>51</v>
      </c>
      <c r="C16" s="8" t="s">
        <v>172</v>
      </c>
      <c r="D16" s="8" t="s">
        <v>170</v>
      </c>
      <c r="E16" s="8" t="s">
        <v>152</v>
      </c>
    </row>
    <row r="17" customFormat="false" ht="15" hidden="false" customHeight="false" outlineLevel="0" collapsed="false">
      <c r="A17" s="4" t="s">
        <v>26</v>
      </c>
      <c r="B17" s="4" t="s">
        <v>25</v>
      </c>
      <c r="C17" s="8" t="s">
        <v>242</v>
      </c>
      <c r="D17" s="8" t="s">
        <v>170</v>
      </c>
      <c r="E17" s="8" t="s">
        <v>158</v>
      </c>
    </row>
    <row r="18" customFormat="false" ht="15" hidden="false" customHeight="false" outlineLevel="0" collapsed="false">
      <c r="A18" s="4" t="s">
        <v>50</v>
      </c>
      <c r="B18" s="4" t="s">
        <v>51</v>
      </c>
      <c r="C18" s="8" t="s">
        <v>243</v>
      </c>
      <c r="D18" s="8" t="s">
        <v>170</v>
      </c>
      <c r="E18" s="8" t="s">
        <v>152</v>
      </c>
    </row>
    <row r="19" customFormat="false" ht="15" hidden="false" customHeight="false" outlineLevel="0" collapsed="false">
      <c r="A19" s="4" t="s">
        <v>26</v>
      </c>
      <c r="B19" s="4" t="s">
        <v>25</v>
      </c>
      <c r="C19" s="8" t="s">
        <v>177</v>
      </c>
      <c r="D19" s="8" t="s">
        <v>176</v>
      </c>
      <c r="E19" s="8" t="s">
        <v>158</v>
      </c>
    </row>
    <row r="20" customFormat="false" ht="23.85" hidden="false" customHeight="false" outlineLevel="0" collapsed="false">
      <c r="A20" s="4"/>
      <c r="B20" s="4"/>
      <c r="C20" s="8" t="s">
        <v>178</v>
      </c>
      <c r="D20" s="8" t="s">
        <v>176</v>
      </c>
      <c r="E20" s="8" t="s">
        <v>244</v>
      </c>
    </row>
    <row r="21" customFormat="false" ht="15" hidden="false" customHeight="false" outlineLevel="0" collapsed="false">
      <c r="A21" s="4" t="s">
        <v>37</v>
      </c>
      <c r="B21" s="4" t="s">
        <v>36</v>
      </c>
      <c r="C21" s="8" t="s">
        <v>185</v>
      </c>
      <c r="D21" s="8" t="s">
        <v>176</v>
      </c>
      <c r="E21" s="8" t="s">
        <v>163</v>
      </c>
    </row>
    <row r="22" customFormat="false" ht="15" hidden="false" customHeight="false" outlineLevel="0" collapsed="false">
      <c r="A22" s="4" t="s">
        <v>50</v>
      </c>
      <c r="B22" s="4" t="s">
        <v>51</v>
      </c>
      <c r="C22" s="8" t="s">
        <v>184</v>
      </c>
      <c r="D22" s="8" t="s">
        <v>176</v>
      </c>
      <c r="E22" s="8" t="s">
        <v>152</v>
      </c>
    </row>
    <row r="23" customFormat="false" ht="23.85" hidden="false" customHeight="false" outlineLevel="0" collapsed="false">
      <c r="A23" s="4" t="s">
        <v>42</v>
      </c>
      <c r="B23" s="4" t="s">
        <v>43</v>
      </c>
      <c r="C23" s="8" t="s">
        <v>42</v>
      </c>
      <c r="D23" s="8" t="s">
        <v>245</v>
      </c>
      <c r="E23" s="8" t="s">
        <v>246</v>
      </c>
    </row>
    <row r="24" customFormat="false" ht="23.85" hidden="false" customHeight="false" outlineLevel="0" collapsed="false">
      <c r="A24" s="4"/>
      <c r="B24" s="4"/>
      <c r="C24" s="8" t="s">
        <v>30</v>
      </c>
      <c r="D24" s="8" t="s">
        <v>245</v>
      </c>
      <c r="E24" s="8" t="s">
        <v>247</v>
      </c>
    </row>
    <row r="25" customFormat="false" ht="23.85" hidden="false" customHeight="false" outlineLevel="0" collapsed="false">
      <c r="A25" s="4"/>
      <c r="B25" s="4"/>
      <c r="C25" s="8" t="s">
        <v>248</v>
      </c>
      <c r="D25" s="8" t="s">
        <v>245</v>
      </c>
      <c r="E25" s="8" t="s">
        <v>249</v>
      </c>
    </row>
    <row r="26" customFormat="false" ht="15" hidden="false" customHeight="false" outlineLevel="0" collapsed="false">
      <c r="A26" s="4" t="s">
        <v>24</v>
      </c>
      <c r="B26" s="4" t="s">
        <v>25</v>
      </c>
      <c r="C26" s="8" t="s">
        <v>24</v>
      </c>
      <c r="D26" s="8" t="s">
        <v>250</v>
      </c>
      <c r="E26" s="8" t="s">
        <v>251</v>
      </c>
    </row>
    <row r="27" customFormat="false" ht="15" hidden="false" customHeight="false" outlineLevel="0" collapsed="false">
      <c r="A27" s="4" t="s">
        <v>26</v>
      </c>
      <c r="B27" s="4" t="s">
        <v>25</v>
      </c>
      <c r="C27" s="8" t="s">
        <v>26</v>
      </c>
      <c r="D27" s="8" t="s">
        <v>250</v>
      </c>
      <c r="E27" s="8" t="s">
        <v>251</v>
      </c>
    </row>
    <row r="28" customFormat="false" ht="15" hidden="false" customHeight="false" outlineLevel="0" collapsed="false">
      <c r="A28" s="4" t="s">
        <v>27</v>
      </c>
      <c r="B28" s="4" t="s">
        <v>25</v>
      </c>
      <c r="C28" s="8" t="s">
        <v>27</v>
      </c>
      <c r="D28" s="8" t="s">
        <v>250</v>
      </c>
      <c r="E28" s="8" t="s">
        <v>251</v>
      </c>
    </row>
    <row r="29" customFormat="false" ht="15" hidden="false" customHeight="false" outlineLevel="0" collapsed="false">
      <c r="A29" s="4" t="s">
        <v>28</v>
      </c>
      <c r="B29" s="4" t="s">
        <v>25</v>
      </c>
      <c r="C29" s="8" t="s">
        <v>28</v>
      </c>
      <c r="D29" s="8" t="s">
        <v>250</v>
      </c>
      <c r="E29" s="8" t="s">
        <v>251</v>
      </c>
    </row>
    <row r="30" customFormat="false" ht="15" hidden="false" customHeight="false" outlineLevel="0" collapsed="false">
      <c r="A30" s="4" t="s">
        <v>29</v>
      </c>
      <c r="B30" s="4" t="s">
        <v>25</v>
      </c>
      <c r="C30" s="8" t="s">
        <v>29</v>
      </c>
      <c r="D30" s="8" t="s">
        <v>250</v>
      </c>
      <c r="E30" s="8" t="s">
        <v>251</v>
      </c>
    </row>
    <row r="31" customFormat="false" ht="15" hidden="false" customHeight="false" outlineLevel="0" collapsed="false">
      <c r="A31" s="4" t="s">
        <v>30</v>
      </c>
      <c r="B31" s="4" t="s">
        <v>25</v>
      </c>
      <c r="C31" s="8" t="s">
        <v>30</v>
      </c>
      <c r="D31" s="8" t="s">
        <v>250</v>
      </c>
      <c r="E31" s="8" t="s">
        <v>251</v>
      </c>
    </row>
    <row r="32" customFormat="false" ht="15" hidden="false" customHeight="false" outlineLevel="0" collapsed="false">
      <c r="A32" s="4" t="s">
        <v>31</v>
      </c>
      <c r="B32" s="4" t="s">
        <v>25</v>
      </c>
      <c r="C32" s="8" t="s">
        <v>31</v>
      </c>
      <c r="D32" s="8" t="s">
        <v>250</v>
      </c>
      <c r="E32" s="8" t="s">
        <v>251</v>
      </c>
    </row>
    <row r="33" customFormat="false" ht="15" hidden="false" customHeight="false" outlineLevel="0" collapsed="false">
      <c r="A33" s="4" t="s">
        <v>32</v>
      </c>
      <c r="B33" s="4" t="s">
        <v>25</v>
      </c>
      <c r="C33" s="8" t="s">
        <v>32</v>
      </c>
      <c r="D33" s="8" t="s">
        <v>250</v>
      </c>
      <c r="E33" s="8" t="s">
        <v>251</v>
      </c>
    </row>
    <row r="34" customFormat="false" ht="15" hidden="false" customHeight="false" outlineLevel="0" collapsed="false">
      <c r="A34" s="4" t="s">
        <v>33</v>
      </c>
      <c r="B34" s="4" t="s">
        <v>25</v>
      </c>
      <c r="C34" s="8" t="s">
        <v>33</v>
      </c>
      <c r="D34" s="8" t="s">
        <v>250</v>
      </c>
      <c r="E34" s="8" t="s">
        <v>251</v>
      </c>
    </row>
    <row r="35" customFormat="false" ht="15" hidden="false" customHeight="false" outlineLevel="0" collapsed="false">
      <c r="A35" s="4" t="s">
        <v>34</v>
      </c>
      <c r="B35" s="4" t="s">
        <v>25</v>
      </c>
      <c r="C35" s="8" t="s">
        <v>34</v>
      </c>
      <c r="D35" s="8" t="s">
        <v>250</v>
      </c>
      <c r="E35" s="8" t="s">
        <v>251</v>
      </c>
    </row>
    <row r="36" customFormat="false" ht="15" hidden="false" customHeight="false" outlineLevel="0" collapsed="false">
      <c r="A36" s="4" t="s">
        <v>35</v>
      </c>
      <c r="B36" s="4" t="s">
        <v>36</v>
      </c>
      <c r="C36" s="8" t="s">
        <v>35</v>
      </c>
      <c r="D36" s="8" t="s">
        <v>250</v>
      </c>
      <c r="E36" s="8" t="s">
        <v>251</v>
      </c>
    </row>
    <row r="37" customFormat="false" ht="15" hidden="false" customHeight="false" outlineLevel="0" collapsed="false">
      <c r="A37" s="4" t="s">
        <v>37</v>
      </c>
      <c r="B37" s="4" t="s">
        <v>36</v>
      </c>
      <c r="C37" s="8" t="s">
        <v>37</v>
      </c>
      <c r="D37" s="8" t="s">
        <v>250</v>
      </c>
      <c r="E37" s="8" t="s">
        <v>251</v>
      </c>
    </row>
    <row r="38" customFormat="false" ht="15" hidden="false" customHeight="false" outlineLevel="0" collapsed="false">
      <c r="A38" s="4" t="s">
        <v>38</v>
      </c>
      <c r="B38" s="4" t="s">
        <v>36</v>
      </c>
      <c r="C38" s="8" t="s">
        <v>38</v>
      </c>
      <c r="D38" s="8" t="s">
        <v>250</v>
      </c>
      <c r="E38" s="8" t="s">
        <v>251</v>
      </c>
    </row>
    <row r="39" customFormat="false" ht="15" hidden="false" customHeight="false" outlineLevel="0" collapsed="false">
      <c r="A39" s="4" t="s">
        <v>39</v>
      </c>
      <c r="B39" s="4" t="s">
        <v>36</v>
      </c>
      <c r="C39" s="8" t="s">
        <v>39</v>
      </c>
      <c r="D39" s="8" t="s">
        <v>250</v>
      </c>
      <c r="E39" s="8" t="s">
        <v>251</v>
      </c>
    </row>
    <row r="40" customFormat="false" ht="15" hidden="false" customHeight="false" outlineLevel="0" collapsed="false">
      <c r="A40" s="4" t="s">
        <v>40</v>
      </c>
      <c r="B40" s="4" t="s">
        <v>36</v>
      </c>
      <c r="C40" s="8" t="s">
        <v>40</v>
      </c>
      <c r="D40" s="8" t="s">
        <v>250</v>
      </c>
      <c r="E40" s="8" t="s">
        <v>251</v>
      </c>
    </row>
    <row r="41" customFormat="false" ht="15" hidden="false" customHeight="false" outlineLevel="0" collapsed="false">
      <c r="A41" s="4" t="s">
        <v>41</v>
      </c>
      <c r="B41" s="4" t="s">
        <v>36</v>
      </c>
      <c r="C41" s="8" t="s">
        <v>41</v>
      </c>
      <c r="D41" s="8" t="s">
        <v>250</v>
      </c>
      <c r="E41" s="8" t="s">
        <v>251</v>
      </c>
    </row>
    <row r="42" customFormat="false" ht="15" hidden="false" customHeight="false" outlineLevel="0" collapsed="false">
      <c r="A42" s="4" t="s">
        <v>42</v>
      </c>
      <c r="B42" s="4" t="s">
        <v>43</v>
      </c>
      <c r="C42" s="8" t="s">
        <v>42</v>
      </c>
      <c r="D42" s="8" t="s">
        <v>250</v>
      </c>
      <c r="E42" s="8" t="s">
        <v>251</v>
      </c>
    </row>
    <row r="43" customFormat="false" ht="15" hidden="false" customHeight="false" outlineLevel="0" collapsed="false">
      <c r="A43" s="4" t="s">
        <v>44</v>
      </c>
      <c r="B43" s="4" t="s">
        <v>43</v>
      </c>
      <c r="C43" s="8" t="s">
        <v>44</v>
      </c>
      <c r="D43" s="8" t="s">
        <v>250</v>
      </c>
      <c r="E43" s="8" t="s">
        <v>251</v>
      </c>
    </row>
    <row r="44" customFormat="false" ht="15" hidden="false" customHeight="false" outlineLevel="0" collapsed="false">
      <c r="A44" s="4" t="s">
        <v>45</v>
      </c>
      <c r="B44" s="4" t="s">
        <v>43</v>
      </c>
      <c r="C44" s="8" t="s">
        <v>45</v>
      </c>
      <c r="D44" s="8" t="s">
        <v>250</v>
      </c>
      <c r="E44" s="8" t="s">
        <v>251</v>
      </c>
    </row>
    <row r="45" customFormat="false" ht="15" hidden="false" customHeight="false" outlineLevel="0" collapsed="false">
      <c r="A45" s="4" t="s">
        <v>46</v>
      </c>
      <c r="B45" s="4" t="s">
        <v>43</v>
      </c>
      <c r="C45" s="8" t="s">
        <v>46</v>
      </c>
      <c r="D45" s="8" t="s">
        <v>250</v>
      </c>
      <c r="E45" s="8" t="s">
        <v>251</v>
      </c>
    </row>
    <row r="46" customFormat="false" ht="15" hidden="false" customHeight="false" outlineLevel="0" collapsed="false">
      <c r="A46" s="4" t="s">
        <v>47</v>
      </c>
      <c r="B46" s="4" t="s">
        <v>43</v>
      </c>
      <c r="C46" s="8" t="s">
        <v>47</v>
      </c>
      <c r="D46" s="8" t="s">
        <v>250</v>
      </c>
      <c r="E46" s="8" t="s">
        <v>251</v>
      </c>
    </row>
    <row r="47" customFormat="false" ht="15" hidden="false" customHeight="false" outlineLevel="0" collapsed="false">
      <c r="A47" s="4" t="s">
        <v>48</v>
      </c>
      <c r="B47" s="4" t="s">
        <v>43</v>
      </c>
      <c r="C47" s="8" t="s">
        <v>48</v>
      </c>
      <c r="D47" s="8" t="s">
        <v>250</v>
      </c>
      <c r="E47" s="8" t="s">
        <v>251</v>
      </c>
    </row>
    <row r="48" customFormat="false" ht="15" hidden="false" customHeight="false" outlineLevel="0" collapsed="false">
      <c r="A48" s="4" t="s">
        <v>49</v>
      </c>
      <c r="B48" s="4" t="s">
        <v>43</v>
      </c>
      <c r="C48" s="8" t="s">
        <v>49</v>
      </c>
      <c r="D48" s="8" t="s">
        <v>250</v>
      </c>
      <c r="E48" s="8" t="s">
        <v>251</v>
      </c>
    </row>
    <row r="49" customFormat="false" ht="15" hidden="false" customHeight="false" outlineLevel="0" collapsed="false">
      <c r="A49" s="4" t="s">
        <v>50</v>
      </c>
      <c r="B49" s="4" t="s">
        <v>51</v>
      </c>
      <c r="C49" s="8" t="s">
        <v>50</v>
      </c>
      <c r="D49" s="8" t="s">
        <v>250</v>
      </c>
      <c r="E49" s="8" t="s">
        <v>251</v>
      </c>
    </row>
    <row r="50" customFormat="false" ht="15" hidden="false" customHeight="false" outlineLevel="0" collapsed="false">
      <c r="A50" s="4" t="s">
        <v>52</v>
      </c>
      <c r="B50" s="4" t="s">
        <v>51</v>
      </c>
      <c r="C50" s="8" t="s">
        <v>52</v>
      </c>
      <c r="D50" s="8" t="s">
        <v>250</v>
      </c>
      <c r="E50" s="8" t="s">
        <v>251</v>
      </c>
    </row>
    <row r="51" customFormat="false" ht="15" hidden="false" customHeight="false" outlineLevel="0" collapsed="false">
      <c r="A51" s="4" t="s">
        <v>53</v>
      </c>
      <c r="B51" s="4" t="s">
        <v>51</v>
      </c>
      <c r="C51" s="8" t="s">
        <v>53</v>
      </c>
      <c r="D51" s="8" t="s">
        <v>250</v>
      </c>
      <c r="E51" s="8" t="s">
        <v>251</v>
      </c>
    </row>
    <row r="52" customFormat="false" ht="15" hidden="false" customHeight="false" outlineLevel="0" collapsed="false">
      <c r="A52" s="4" t="s">
        <v>54</v>
      </c>
      <c r="B52" s="4" t="s">
        <v>51</v>
      </c>
      <c r="C52" s="8" t="s">
        <v>54</v>
      </c>
      <c r="D52" s="8" t="s">
        <v>250</v>
      </c>
      <c r="E52" s="8" t="s">
        <v>251</v>
      </c>
    </row>
    <row r="53" customFormat="false" ht="15" hidden="false" customHeight="false" outlineLevel="0" collapsed="false">
      <c r="A53" s="4" t="s">
        <v>55</v>
      </c>
      <c r="B53" s="4" t="s">
        <v>51</v>
      </c>
      <c r="C53" s="8" t="s">
        <v>55</v>
      </c>
      <c r="D53" s="8" t="s">
        <v>250</v>
      </c>
      <c r="E53" s="8" t="s">
        <v>251</v>
      </c>
    </row>
    <row r="54" customFormat="false" ht="15" hidden="false" customHeight="false" outlineLevel="0" collapsed="false">
      <c r="A54" s="4" t="s">
        <v>56</v>
      </c>
      <c r="B54" s="4" t="s">
        <v>51</v>
      </c>
      <c r="C54" s="8" t="s">
        <v>56</v>
      </c>
      <c r="D54" s="8" t="s">
        <v>250</v>
      </c>
      <c r="E54" s="8" t="s">
        <v>251</v>
      </c>
    </row>
    <row r="55" customFormat="false" ht="15" hidden="false" customHeight="false" outlineLevel="0" collapsed="false">
      <c r="A55" s="4" t="s">
        <v>57</v>
      </c>
      <c r="B55" s="4" t="s">
        <v>58</v>
      </c>
      <c r="C55" s="8" t="s">
        <v>57</v>
      </c>
      <c r="D55" s="8" t="s">
        <v>250</v>
      </c>
      <c r="E55" s="8" t="s">
        <v>251</v>
      </c>
    </row>
    <row r="56" customFormat="false" ht="15" hidden="false" customHeight="false" outlineLevel="0" collapsed="false">
      <c r="A56" s="4" t="s">
        <v>59</v>
      </c>
      <c r="B56" s="4" t="s">
        <v>58</v>
      </c>
      <c r="C56" s="8" t="s">
        <v>59</v>
      </c>
      <c r="D56" s="8" t="s">
        <v>250</v>
      </c>
      <c r="E56" s="8" t="s">
        <v>251</v>
      </c>
    </row>
    <row r="57" customFormat="false" ht="15" hidden="false" customHeight="false" outlineLevel="0" collapsed="false">
      <c r="A57" s="4" t="s">
        <v>60</v>
      </c>
      <c r="B57" s="4" t="s">
        <v>58</v>
      </c>
      <c r="C57" s="8" t="s">
        <v>60</v>
      </c>
      <c r="D57" s="8" t="s">
        <v>250</v>
      </c>
      <c r="E57" s="8" t="s">
        <v>251</v>
      </c>
    </row>
    <row r="58" customFormat="false" ht="15" hidden="false" customHeight="false" outlineLevel="0" collapsed="false">
      <c r="A58" s="4" t="s">
        <v>61</v>
      </c>
      <c r="B58" s="4" t="s">
        <v>58</v>
      </c>
      <c r="C58" s="8" t="s">
        <v>61</v>
      </c>
      <c r="D58" s="8" t="s">
        <v>250</v>
      </c>
      <c r="E58" s="8" t="s">
        <v>251</v>
      </c>
    </row>
    <row r="59" customFormat="false" ht="15" hidden="false" customHeight="false" outlineLevel="0" collapsed="false">
      <c r="A59" s="4" t="s">
        <v>62</v>
      </c>
      <c r="B59" s="4" t="s">
        <v>58</v>
      </c>
      <c r="C59" s="8" t="s">
        <v>62</v>
      </c>
      <c r="D59" s="8" t="s">
        <v>250</v>
      </c>
      <c r="E59" s="8" t="s">
        <v>251</v>
      </c>
    </row>
    <row r="60" customFormat="false" ht="15" hidden="false" customHeight="false" outlineLevel="0" collapsed="false">
      <c r="A60" s="4" t="s">
        <v>63</v>
      </c>
      <c r="B60" s="4" t="s">
        <v>58</v>
      </c>
      <c r="C60" s="8" t="s">
        <v>63</v>
      </c>
      <c r="D60" s="8" t="s">
        <v>250</v>
      </c>
      <c r="E60" s="8" t="s">
        <v>251</v>
      </c>
    </row>
    <row r="61" customFormat="false" ht="15" hidden="false" customHeight="false" outlineLevel="0" collapsed="false">
      <c r="A61" s="4" t="s">
        <v>64</v>
      </c>
      <c r="B61" s="4" t="s">
        <v>58</v>
      </c>
      <c r="C61" s="8" t="s">
        <v>64</v>
      </c>
      <c r="D61" s="8" t="s">
        <v>250</v>
      </c>
      <c r="E61" s="8" t="s">
        <v>251</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0"/>
    <col collapsed="false" customWidth="true" hidden="false" outlineLevel="0" max="3" min="3" style="0" width="14"/>
    <col collapsed="false" customWidth="true" hidden="false" outlineLevel="0" max="5" min="4" style="0" width="55"/>
    <col collapsed="false" customWidth="true" hidden="false" outlineLevel="0" max="6" min="6" style="0" width="14"/>
    <col collapsed="false" customWidth="true" hidden="false" outlineLevel="0" max="7" min="7" style="0" width="70"/>
  </cols>
  <sheetData>
    <row r="1" customFormat="false" ht="21.75" hidden="false" customHeight="true" outlineLevel="0" collapsed="false">
      <c r="A1" s="1" t="s">
        <v>252</v>
      </c>
      <c r="B1" s="1"/>
      <c r="C1" s="1"/>
      <c r="D1" s="1"/>
      <c r="E1" s="1"/>
      <c r="F1" s="1"/>
      <c r="G1" s="1"/>
    </row>
    <row r="2" customFormat="false" ht="15" hidden="false" customHeight="false" outlineLevel="0" collapsed="false">
      <c r="A2" s="2" t="s">
        <v>253</v>
      </c>
      <c r="B2" s="2"/>
      <c r="C2" s="2"/>
      <c r="D2" s="2"/>
      <c r="E2" s="2"/>
      <c r="F2" s="2"/>
      <c r="G2" s="2"/>
    </row>
    <row r="4" customFormat="false" ht="25.5" hidden="false" customHeight="true" outlineLevel="0" collapsed="false">
      <c r="A4" s="3" t="s">
        <v>254</v>
      </c>
      <c r="B4" s="3" t="s">
        <v>255</v>
      </c>
      <c r="C4" s="3" t="s">
        <v>256</v>
      </c>
      <c r="D4" s="3" t="s">
        <v>257</v>
      </c>
      <c r="E4" s="3" t="s">
        <v>258</v>
      </c>
      <c r="F4" s="3" t="s">
        <v>259</v>
      </c>
      <c r="G4" s="3" t="s">
        <v>260</v>
      </c>
    </row>
    <row r="5" customFormat="false" ht="60" hidden="false" customHeight="true" outlineLevel="0" collapsed="false">
      <c r="A5" s="4" t="s">
        <v>261</v>
      </c>
      <c r="B5" s="4" t="s">
        <v>262</v>
      </c>
      <c r="C5" s="4" t="s">
        <v>263</v>
      </c>
      <c r="D5" s="8" t="s">
        <v>264</v>
      </c>
      <c r="E5" s="4" t="s">
        <v>265</v>
      </c>
      <c r="F5" s="4" t="s">
        <v>266</v>
      </c>
      <c r="G5" s="8" t="s">
        <v>267</v>
      </c>
    </row>
    <row r="6" customFormat="false" ht="35.05" hidden="false" customHeight="false" outlineLevel="0" collapsed="false">
      <c r="A6" s="4" t="s">
        <v>5</v>
      </c>
      <c r="B6" s="4" t="s">
        <v>24</v>
      </c>
      <c r="C6" s="4" t="n">
        <v>78.85</v>
      </c>
      <c r="D6" s="8" t="s">
        <v>264</v>
      </c>
      <c r="E6" s="4" t="s">
        <v>265</v>
      </c>
      <c r="F6" s="4" t="s">
        <v>266</v>
      </c>
      <c r="G6" s="8" t="s">
        <v>268</v>
      </c>
    </row>
    <row r="7" customFormat="false" ht="35.05" hidden="false" customHeight="false" outlineLevel="0" collapsed="false">
      <c r="A7" s="4" t="s">
        <v>6</v>
      </c>
      <c r="B7" s="4" t="s">
        <v>24</v>
      </c>
      <c r="C7" s="4" t="n">
        <v>0</v>
      </c>
      <c r="D7" s="8" t="s">
        <v>264</v>
      </c>
      <c r="E7" s="4" t="s">
        <v>265</v>
      </c>
      <c r="F7" s="4" t="s">
        <v>266</v>
      </c>
      <c r="G7" s="8" t="s">
        <v>268</v>
      </c>
    </row>
    <row r="8" customFormat="false" ht="35.05" hidden="false" customHeight="false" outlineLevel="0" collapsed="false">
      <c r="A8" s="4" t="s">
        <v>9</v>
      </c>
      <c r="B8" s="4" t="s">
        <v>24</v>
      </c>
      <c r="C8" s="4" t="n">
        <v>0</v>
      </c>
      <c r="D8" s="8" t="s">
        <v>264</v>
      </c>
      <c r="E8" s="4" t="s">
        <v>265</v>
      </c>
      <c r="F8" s="4" t="s">
        <v>266</v>
      </c>
      <c r="G8" s="8" t="s">
        <v>268</v>
      </c>
    </row>
    <row r="9" customFormat="false" ht="35.05" hidden="false" customHeight="false" outlineLevel="0" collapsed="false">
      <c r="A9" s="4" t="s">
        <v>7</v>
      </c>
      <c r="B9" s="4" t="s">
        <v>24</v>
      </c>
      <c r="C9" s="4" t="n">
        <v>0</v>
      </c>
      <c r="D9" s="8" t="s">
        <v>264</v>
      </c>
      <c r="E9" s="4" t="s">
        <v>265</v>
      </c>
      <c r="F9" s="4" t="s">
        <v>266</v>
      </c>
      <c r="G9" s="8" t="s">
        <v>268</v>
      </c>
    </row>
    <row r="10" customFormat="false" ht="35.05" hidden="false" customHeight="false" outlineLevel="0" collapsed="false">
      <c r="A10" s="4" t="s">
        <v>8</v>
      </c>
      <c r="B10" s="4" t="s">
        <v>24</v>
      </c>
      <c r="C10" s="4" t="n">
        <v>0</v>
      </c>
      <c r="D10" s="8" t="s">
        <v>264</v>
      </c>
      <c r="E10" s="4" t="s">
        <v>265</v>
      </c>
      <c r="F10" s="4" t="s">
        <v>266</v>
      </c>
      <c r="G10" s="8" t="s">
        <v>268</v>
      </c>
    </row>
    <row r="11" customFormat="false" ht="35.05" hidden="false" customHeight="false" outlineLevel="0" collapsed="false">
      <c r="A11" s="4" t="s">
        <v>5</v>
      </c>
      <c r="B11" s="4" t="s">
        <v>26</v>
      </c>
      <c r="C11" s="4" t="n">
        <v>455.9</v>
      </c>
      <c r="D11" s="8" t="s">
        <v>264</v>
      </c>
      <c r="E11" s="4" t="s">
        <v>265</v>
      </c>
      <c r="F11" s="4" t="s">
        <v>266</v>
      </c>
      <c r="G11" s="8" t="s">
        <v>268</v>
      </c>
    </row>
    <row r="12" customFormat="false" ht="35.05" hidden="false" customHeight="false" outlineLevel="0" collapsed="false">
      <c r="A12" s="4" t="s">
        <v>6</v>
      </c>
      <c r="B12" s="4" t="s">
        <v>26</v>
      </c>
      <c r="C12" s="4" t="n">
        <v>0</v>
      </c>
      <c r="D12" s="8" t="s">
        <v>264</v>
      </c>
      <c r="E12" s="4" t="s">
        <v>265</v>
      </c>
      <c r="F12" s="4" t="s">
        <v>266</v>
      </c>
      <c r="G12" s="8" t="s">
        <v>268</v>
      </c>
    </row>
    <row r="13" customFormat="false" ht="35.05" hidden="false" customHeight="false" outlineLevel="0" collapsed="false">
      <c r="A13" s="4" t="s">
        <v>9</v>
      </c>
      <c r="B13" s="4" t="s">
        <v>26</v>
      </c>
      <c r="C13" s="4" t="n">
        <v>85.17</v>
      </c>
      <c r="D13" s="8" t="s">
        <v>264</v>
      </c>
      <c r="E13" s="4" t="s">
        <v>265</v>
      </c>
      <c r="F13" s="4" t="s">
        <v>266</v>
      </c>
      <c r="G13" s="8" t="s">
        <v>268</v>
      </c>
    </row>
    <row r="14" customFormat="false" ht="35.05" hidden="false" customHeight="false" outlineLevel="0" collapsed="false">
      <c r="A14" s="4" t="s">
        <v>7</v>
      </c>
      <c r="B14" s="4" t="s">
        <v>26</v>
      </c>
      <c r="C14" s="4" t="n">
        <v>0</v>
      </c>
      <c r="D14" s="8" t="s">
        <v>264</v>
      </c>
      <c r="E14" s="4" t="s">
        <v>265</v>
      </c>
      <c r="F14" s="4" t="s">
        <v>266</v>
      </c>
      <c r="G14" s="8" t="s">
        <v>268</v>
      </c>
    </row>
    <row r="15" customFormat="false" ht="35.05" hidden="false" customHeight="false" outlineLevel="0" collapsed="false">
      <c r="A15" s="4" t="s">
        <v>8</v>
      </c>
      <c r="B15" s="4" t="s">
        <v>26</v>
      </c>
      <c r="C15" s="4" t="n">
        <v>0</v>
      </c>
      <c r="D15" s="8" t="s">
        <v>264</v>
      </c>
      <c r="E15" s="4" t="s">
        <v>265</v>
      </c>
      <c r="F15" s="4" t="s">
        <v>266</v>
      </c>
      <c r="G15" s="8" t="s">
        <v>268</v>
      </c>
    </row>
    <row r="16" customFormat="false" ht="35.05" hidden="false" customHeight="false" outlineLevel="0" collapsed="false">
      <c r="A16" s="4" t="s">
        <v>5</v>
      </c>
      <c r="B16" s="4" t="s">
        <v>27</v>
      </c>
      <c r="C16" s="4" t="n">
        <v>2802.18</v>
      </c>
      <c r="D16" s="8" t="s">
        <v>264</v>
      </c>
      <c r="E16" s="4" t="s">
        <v>265</v>
      </c>
      <c r="F16" s="4" t="s">
        <v>266</v>
      </c>
      <c r="G16" s="8" t="s">
        <v>268</v>
      </c>
    </row>
    <row r="17" customFormat="false" ht="35.05" hidden="false" customHeight="false" outlineLevel="0" collapsed="false">
      <c r="A17" s="4" t="s">
        <v>6</v>
      </c>
      <c r="B17" s="4" t="s">
        <v>27</v>
      </c>
      <c r="C17" s="4" t="n">
        <v>0</v>
      </c>
      <c r="D17" s="8" t="s">
        <v>264</v>
      </c>
      <c r="E17" s="4" t="s">
        <v>265</v>
      </c>
      <c r="F17" s="4" t="s">
        <v>266</v>
      </c>
      <c r="G17" s="8" t="s">
        <v>268</v>
      </c>
    </row>
    <row r="18" customFormat="false" ht="35.05" hidden="false" customHeight="false" outlineLevel="0" collapsed="false">
      <c r="A18" s="4" t="s">
        <v>9</v>
      </c>
      <c r="B18" s="4" t="s">
        <v>27</v>
      </c>
      <c r="C18" s="4" t="n">
        <v>330.88</v>
      </c>
      <c r="D18" s="8" t="s">
        <v>264</v>
      </c>
      <c r="E18" s="4" t="s">
        <v>265</v>
      </c>
      <c r="F18" s="4" t="s">
        <v>266</v>
      </c>
      <c r="G18" s="8" t="s">
        <v>268</v>
      </c>
    </row>
    <row r="19" customFormat="false" ht="35.05" hidden="false" customHeight="false" outlineLevel="0" collapsed="false">
      <c r="A19" s="4" t="s">
        <v>7</v>
      </c>
      <c r="B19" s="4" t="s">
        <v>27</v>
      </c>
      <c r="C19" s="4" t="n">
        <v>73.5</v>
      </c>
      <c r="D19" s="8" t="s">
        <v>264</v>
      </c>
      <c r="E19" s="4" t="s">
        <v>265</v>
      </c>
      <c r="F19" s="4" t="s">
        <v>266</v>
      </c>
      <c r="G19" s="8" t="s">
        <v>268</v>
      </c>
    </row>
    <row r="20" customFormat="false" ht="35.05" hidden="false" customHeight="false" outlineLevel="0" collapsed="false">
      <c r="A20" s="4" t="s">
        <v>8</v>
      </c>
      <c r="B20" s="4" t="s">
        <v>27</v>
      </c>
      <c r="C20" s="4" t="n">
        <v>0</v>
      </c>
      <c r="D20" s="8" t="s">
        <v>264</v>
      </c>
      <c r="E20" s="4" t="s">
        <v>265</v>
      </c>
      <c r="F20" s="4" t="s">
        <v>266</v>
      </c>
      <c r="G20" s="8" t="s">
        <v>268</v>
      </c>
    </row>
    <row r="21" customFormat="false" ht="35.05" hidden="false" customHeight="false" outlineLevel="0" collapsed="false">
      <c r="A21" s="4" t="s">
        <v>5</v>
      </c>
      <c r="B21" s="4" t="s">
        <v>28</v>
      </c>
      <c r="C21" s="4" t="n">
        <v>380.29</v>
      </c>
      <c r="D21" s="8" t="s">
        <v>264</v>
      </c>
      <c r="E21" s="4" t="s">
        <v>265</v>
      </c>
      <c r="F21" s="4" t="s">
        <v>266</v>
      </c>
      <c r="G21" s="8" t="s">
        <v>268</v>
      </c>
    </row>
    <row r="22" customFormat="false" ht="35.05" hidden="false" customHeight="false" outlineLevel="0" collapsed="false">
      <c r="A22" s="4" t="s">
        <v>6</v>
      </c>
      <c r="B22" s="4" t="s">
        <v>28</v>
      </c>
      <c r="C22" s="4" t="n">
        <v>0</v>
      </c>
      <c r="D22" s="8" t="s">
        <v>264</v>
      </c>
      <c r="E22" s="4" t="s">
        <v>265</v>
      </c>
      <c r="F22" s="4" t="s">
        <v>266</v>
      </c>
      <c r="G22" s="8" t="s">
        <v>268</v>
      </c>
    </row>
    <row r="23" customFormat="false" ht="35.05" hidden="false" customHeight="false" outlineLevel="0" collapsed="false">
      <c r="A23" s="4" t="s">
        <v>9</v>
      </c>
      <c r="B23" s="4" t="s">
        <v>28</v>
      </c>
      <c r="C23" s="4" t="n">
        <v>10.2</v>
      </c>
      <c r="D23" s="8" t="s">
        <v>264</v>
      </c>
      <c r="E23" s="4" t="s">
        <v>265</v>
      </c>
      <c r="F23" s="4" t="s">
        <v>266</v>
      </c>
      <c r="G23" s="8" t="s">
        <v>268</v>
      </c>
    </row>
    <row r="24" customFormat="false" ht="35.05" hidden="false" customHeight="false" outlineLevel="0" collapsed="false">
      <c r="A24" s="4" t="s">
        <v>7</v>
      </c>
      <c r="B24" s="4" t="s">
        <v>28</v>
      </c>
      <c r="C24" s="4" t="n">
        <v>1013.46</v>
      </c>
      <c r="D24" s="8" t="s">
        <v>264</v>
      </c>
      <c r="E24" s="4" t="s">
        <v>265</v>
      </c>
      <c r="F24" s="4" t="s">
        <v>266</v>
      </c>
      <c r="G24" s="8" t="s">
        <v>268</v>
      </c>
    </row>
    <row r="25" customFormat="false" ht="35.05" hidden="false" customHeight="false" outlineLevel="0" collapsed="false">
      <c r="A25" s="4" t="s">
        <v>8</v>
      </c>
      <c r="B25" s="4" t="s">
        <v>28</v>
      </c>
      <c r="C25" s="4" t="n">
        <v>11571.02</v>
      </c>
      <c r="D25" s="8" t="s">
        <v>264</v>
      </c>
      <c r="E25" s="4" t="s">
        <v>265</v>
      </c>
      <c r="F25" s="4" t="s">
        <v>266</v>
      </c>
      <c r="G25" s="8" t="s">
        <v>268</v>
      </c>
    </row>
    <row r="26" customFormat="false" ht="35.05" hidden="false" customHeight="false" outlineLevel="0" collapsed="false">
      <c r="A26" s="4" t="s">
        <v>5</v>
      </c>
      <c r="B26" s="4" t="s">
        <v>29</v>
      </c>
      <c r="C26" s="4" t="n">
        <v>167.91</v>
      </c>
      <c r="D26" s="8" t="s">
        <v>264</v>
      </c>
      <c r="E26" s="4" t="s">
        <v>265</v>
      </c>
      <c r="F26" s="4" t="s">
        <v>266</v>
      </c>
      <c r="G26" s="8" t="s">
        <v>268</v>
      </c>
    </row>
    <row r="27" customFormat="false" ht="35.05" hidden="false" customHeight="false" outlineLevel="0" collapsed="false">
      <c r="A27" s="4" t="s">
        <v>6</v>
      </c>
      <c r="B27" s="4" t="s">
        <v>29</v>
      </c>
      <c r="C27" s="4" t="n">
        <v>0</v>
      </c>
      <c r="D27" s="8" t="s">
        <v>264</v>
      </c>
      <c r="E27" s="4" t="s">
        <v>265</v>
      </c>
      <c r="F27" s="4" t="s">
        <v>266</v>
      </c>
      <c r="G27" s="8" t="s">
        <v>268</v>
      </c>
    </row>
    <row r="28" customFormat="false" ht="35.05" hidden="false" customHeight="false" outlineLevel="0" collapsed="false">
      <c r="A28" s="4" t="s">
        <v>9</v>
      </c>
      <c r="B28" s="4" t="s">
        <v>29</v>
      </c>
      <c r="C28" s="4" t="n">
        <v>5</v>
      </c>
      <c r="D28" s="8" t="s">
        <v>264</v>
      </c>
      <c r="E28" s="4" t="s">
        <v>265</v>
      </c>
      <c r="F28" s="4" t="s">
        <v>266</v>
      </c>
      <c r="G28" s="8" t="s">
        <v>268</v>
      </c>
    </row>
    <row r="29" customFormat="false" ht="35.05" hidden="false" customHeight="false" outlineLevel="0" collapsed="false">
      <c r="A29" s="4" t="s">
        <v>7</v>
      </c>
      <c r="B29" s="4" t="s">
        <v>29</v>
      </c>
      <c r="C29" s="4" t="n">
        <v>189.93</v>
      </c>
      <c r="D29" s="8" t="s">
        <v>264</v>
      </c>
      <c r="E29" s="4" t="s">
        <v>265</v>
      </c>
      <c r="F29" s="4" t="s">
        <v>266</v>
      </c>
      <c r="G29" s="8" t="s">
        <v>268</v>
      </c>
    </row>
    <row r="30" customFormat="false" ht="35.05" hidden="false" customHeight="false" outlineLevel="0" collapsed="false">
      <c r="A30" s="4" t="s">
        <v>8</v>
      </c>
      <c r="B30" s="4" t="s">
        <v>29</v>
      </c>
      <c r="C30" s="4" t="n">
        <v>3360</v>
      </c>
      <c r="D30" s="8" t="s">
        <v>264</v>
      </c>
      <c r="E30" s="4" t="s">
        <v>265</v>
      </c>
      <c r="F30" s="4" t="s">
        <v>266</v>
      </c>
      <c r="G30" s="8" t="s">
        <v>268</v>
      </c>
    </row>
    <row r="31" customFormat="false" ht="35.05" hidden="false" customHeight="false" outlineLevel="0" collapsed="false">
      <c r="A31" s="4" t="s">
        <v>5</v>
      </c>
      <c r="B31" s="4" t="s">
        <v>30</v>
      </c>
      <c r="C31" s="4" t="n">
        <v>18.42</v>
      </c>
      <c r="D31" s="8" t="s">
        <v>264</v>
      </c>
      <c r="E31" s="4" t="s">
        <v>265</v>
      </c>
      <c r="F31" s="4" t="s">
        <v>266</v>
      </c>
      <c r="G31" s="8" t="s">
        <v>268</v>
      </c>
    </row>
    <row r="32" customFormat="false" ht="35.05" hidden="false" customHeight="false" outlineLevel="0" collapsed="false">
      <c r="A32" s="4" t="s">
        <v>6</v>
      </c>
      <c r="B32" s="4" t="s">
        <v>30</v>
      </c>
      <c r="C32" s="4" t="n">
        <v>0</v>
      </c>
      <c r="D32" s="8" t="s">
        <v>264</v>
      </c>
      <c r="E32" s="4" t="s">
        <v>265</v>
      </c>
      <c r="F32" s="4" t="s">
        <v>266</v>
      </c>
      <c r="G32" s="8" t="s">
        <v>268</v>
      </c>
    </row>
    <row r="33" customFormat="false" ht="35.05" hidden="false" customHeight="false" outlineLevel="0" collapsed="false">
      <c r="A33" s="4" t="s">
        <v>9</v>
      </c>
      <c r="B33" s="4" t="s">
        <v>30</v>
      </c>
      <c r="C33" s="4" t="n">
        <v>0</v>
      </c>
      <c r="D33" s="8" t="s">
        <v>264</v>
      </c>
      <c r="E33" s="4" t="s">
        <v>265</v>
      </c>
      <c r="F33" s="4" t="s">
        <v>266</v>
      </c>
      <c r="G33" s="8" t="s">
        <v>268</v>
      </c>
    </row>
    <row r="34" customFormat="false" ht="35.05" hidden="false" customHeight="false" outlineLevel="0" collapsed="false">
      <c r="A34" s="4" t="s">
        <v>7</v>
      </c>
      <c r="B34" s="4" t="s">
        <v>30</v>
      </c>
      <c r="C34" s="4" t="n">
        <v>45.79</v>
      </c>
      <c r="D34" s="8" t="s">
        <v>264</v>
      </c>
      <c r="E34" s="4" t="s">
        <v>265</v>
      </c>
      <c r="F34" s="4" t="s">
        <v>266</v>
      </c>
      <c r="G34" s="8" t="s">
        <v>268</v>
      </c>
    </row>
    <row r="35" customFormat="false" ht="35.05" hidden="false" customHeight="false" outlineLevel="0" collapsed="false">
      <c r="A35" s="4" t="s">
        <v>8</v>
      </c>
      <c r="B35" s="4" t="s">
        <v>30</v>
      </c>
      <c r="C35" s="4" t="n">
        <v>89</v>
      </c>
      <c r="D35" s="8" t="s">
        <v>264</v>
      </c>
      <c r="E35" s="4" t="s">
        <v>265</v>
      </c>
      <c r="F35" s="4" t="s">
        <v>266</v>
      </c>
      <c r="G35" s="8" t="s">
        <v>268</v>
      </c>
    </row>
    <row r="36" customFormat="false" ht="35.05" hidden="false" customHeight="false" outlineLevel="0" collapsed="false">
      <c r="A36" s="4" t="s">
        <v>5</v>
      </c>
      <c r="B36" s="4" t="s">
        <v>31</v>
      </c>
      <c r="C36" s="4" t="n">
        <v>1603.19</v>
      </c>
      <c r="D36" s="8" t="s">
        <v>264</v>
      </c>
      <c r="E36" s="4" t="s">
        <v>265</v>
      </c>
      <c r="F36" s="4" t="s">
        <v>266</v>
      </c>
      <c r="G36" s="8" t="s">
        <v>268</v>
      </c>
    </row>
    <row r="37" customFormat="false" ht="35.05" hidden="false" customHeight="false" outlineLevel="0" collapsed="false">
      <c r="A37" s="4" t="s">
        <v>6</v>
      </c>
      <c r="B37" s="4" t="s">
        <v>31</v>
      </c>
      <c r="C37" s="4" t="n">
        <v>0</v>
      </c>
      <c r="D37" s="8" t="s">
        <v>264</v>
      </c>
      <c r="E37" s="4" t="s">
        <v>265</v>
      </c>
      <c r="F37" s="4" t="s">
        <v>266</v>
      </c>
      <c r="G37" s="8" t="s">
        <v>268</v>
      </c>
    </row>
    <row r="38" customFormat="false" ht="35.05" hidden="false" customHeight="false" outlineLevel="0" collapsed="false">
      <c r="A38" s="4" t="s">
        <v>9</v>
      </c>
      <c r="B38" s="4" t="s">
        <v>31</v>
      </c>
      <c r="C38" s="4" t="n">
        <v>582.59</v>
      </c>
      <c r="D38" s="8" t="s">
        <v>264</v>
      </c>
      <c r="E38" s="4" t="s">
        <v>265</v>
      </c>
      <c r="F38" s="4" t="s">
        <v>266</v>
      </c>
      <c r="G38" s="8" t="s">
        <v>268</v>
      </c>
    </row>
    <row r="39" customFormat="false" ht="35.05" hidden="false" customHeight="false" outlineLevel="0" collapsed="false">
      <c r="A39" s="4" t="s">
        <v>7</v>
      </c>
      <c r="B39" s="4" t="s">
        <v>31</v>
      </c>
      <c r="C39" s="4" t="n">
        <v>176.1</v>
      </c>
      <c r="D39" s="8" t="s">
        <v>264</v>
      </c>
      <c r="E39" s="4" t="s">
        <v>265</v>
      </c>
      <c r="F39" s="4" t="s">
        <v>266</v>
      </c>
      <c r="G39" s="8" t="s">
        <v>268</v>
      </c>
    </row>
    <row r="40" customFormat="false" ht="35.05" hidden="false" customHeight="false" outlineLevel="0" collapsed="false">
      <c r="A40" s="4" t="s">
        <v>8</v>
      </c>
      <c r="B40" s="4" t="s">
        <v>31</v>
      </c>
      <c r="C40" s="4" t="n">
        <v>1096.3</v>
      </c>
      <c r="D40" s="8" t="s">
        <v>264</v>
      </c>
      <c r="E40" s="4" t="s">
        <v>265</v>
      </c>
      <c r="F40" s="4" t="s">
        <v>266</v>
      </c>
      <c r="G40" s="8" t="s">
        <v>268</v>
      </c>
    </row>
    <row r="41" customFormat="false" ht="35.05" hidden="false" customHeight="false" outlineLevel="0" collapsed="false">
      <c r="A41" s="4" t="s">
        <v>5</v>
      </c>
      <c r="B41" s="4" t="s">
        <v>32</v>
      </c>
      <c r="C41" s="4" t="n">
        <v>43317.81</v>
      </c>
      <c r="D41" s="8" t="s">
        <v>264</v>
      </c>
      <c r="E41" s="4" t="s">
        <v>265</v>
      </c>
      <c r="F41" s="4" t="s">
        <v>266</v>
      </c>
      <c r="G41" s="8" t="s">
        <v>268</v>
      </c>
    </row>
    <row r="42" customFormat="false" ht="35.05" hidden="false" customHeight="false" outlineLevel="0" collapsed="false">
      <c r="A42" s="4" t="s">
        <v>6</v>
      </c>
      <c r="B42" s="4" t="s">
        <v>32</v>
      </c>
      <c r="C42" s="4" t="n">
        <v>5516.04</v>
      </c>
      <c r="D42" s="8" t="s">
        <v>264</v>
      </c>
      <c r="E42" s="4" t="s">
        <v>265</v>
      </c>
      <c r="F42" s="4" t="s">
        <v>266</v>
      </c>
      <c r="G42" s="8" t="s">
        <v>268</v>
      </c>
    </row>
    <row r="43" customFormat="false" ht="35.05" hidden="false" customHeight="false" outlineLevel="0" collapsed="false">
      <c r="A43" s="4" t="s">
        <v>9</v>
      </c>
      <c r="B43" s="4" t="s">
        <v>32</v>
      </c>
      <c r="C43" s="4" t="n">
        <v>222.42</v>
      </c>
      <c r="D43" s="8" t="s">
        <v>264</v>
      </c>
      <c r="E43" s="4" t="s">
        <v>265</v>
      </c>
      <c r="F43" s="4" t="s">
        <v>266</v>
      </c>
      <c r="G43" s="8" t="s">
        <v>268</v>
      </c>
    </row>
    <row r="44" customFormat="false" ht="35.05" hidden="false" customHeight="false" outlineLevel="0" collapsed="false">
      <c r="A44" s="4" t="s">
        <v>7</v>
      </c>
      <c r="B44" s="4" t="s">
        <v>32</v>
      </c>
      <c r="C44" s="4" t="n">
        <v>23.85</v>
      </c>
      <c r="D44" s="8" t="s">
        <v>264</v>
      </c>
      <c r="E44" s="4" t="s">
        <v>265</v>
      </c>
      <c r="F44" s="4" t="s">
        <v>266</v>
      </c>
      <c r="G44" s="8" t="s">
        <v>268</v>
      </c>
    </row>
    <row r="45" customFormat="false" ht="35.05" hidden="false" customHeight="false" outlineLevel="0" collapsed="false">
      <c r="A45" s="4" t="s">
        <v>8</v>
      </c>
      <c r="B45" s="4" t="s">
        <v>32</v>
      </c>
      <c r="C45" s="4" t="n">
        <v>412.5</v>
      </c>
      <c r="D45" s="8" t="s">
        <v>264</v>
      </c>
      <c r="E45" s="4" t="s">
        <v>265</v>
      </c>
      <c r="F45" s="4" t="s">
        <v>266</v>
      </c>
      <c r="G45" s="8" t="s">
        <v>268</v>
      </c>
    </row>
    <row r="46" customFormat="false" ht="35.05" hidden="false" customHeight="false" outlineLevel="0" collapsed="false">
      <c r="A46" s="4" t="s">
        <v>5</v>
      </c>
      <c r="B46" s="4" t="s">
        <v>33</v>
      </c>
      <c r="C46" s="4" t="n">
        <v>5788.82</v>
      </c>
      <c r="D46" s="8" t="s">
        <v>264</v>
      </c>
      <c r="E46" s="4" t="s">
        <v>265</v>
      </c>
      <c r="F46" s="4" t="s">
        <v>266</v>
      </c>
      <c r="G46" s="8" t="s">
        <v>268</v>
      </c>
    </row>
    <row r="47" customFormat="false" ht="35.05" hidden="false" customHeight="false" outlineLevel="0" collapsed="false">
      <c r="A47" s="4" t="s">
        <v>6</v>
      </c>
      <c r="B47" s="4" t="s">
        <v>33</v>
      </c>
      <c r="C47" s="4" t="n">
        <v>0</v>
      </c>
      <c r="D47" s="8" t="s">
        <v>264</v>
      </c>
      <c r="E47" s="4" t="s">
        <v>265</v>
      </c>
      <c r="F47" s="4" t="s">
        <v>266</v>
      </c>
      <c r="G47" s="8" t="s">
        <v>268</v>
      </c>
    </row>
    <row r="48" customFormat="false" ht="35.05" hidden="false" customHeight="false" outlineLevel="0" collapsed="false">
      <c r="A48" s="4" t="s">
        <v>9</v>
      </c>
      <c r="B48" s="4" t="s">
        <v>33</v>
      </c>
      <c r="C48" s="4" t="n">
        <v>2329.89</v>
      </c>
      <c r="D48" s="8" t="s">
        <v>264</v>
      </c>
      <c r="E48" s="4" t="s">
        <v>265</v>
      </c>
      <c r="F48" s="4" t="s">
        <v>266</v>
      </c>
      <c r="G48" s="8" t="s">
        <v>268</v>
      </c>
    </row>
    <row r="49" customFormat="false" ht="35.05" hidden="false" customHeight="false" outlineLevel="0" collapsed="false">
      <c r="A49" s="4" t="s">
        <v>7</v>
      </c>
      <c r="B49" s="4" t="s">
        <v>33</v>
      </c>
      <c r="C49" s="4" t="n">
        <v>50.6</v>
      </c>
      <c r="D49" s="8" t="s">
        <v>264</v>
      </c>
      <c r="E49" s="4" t="s">
        <v>265</v>
      </c>
      <c r="F49" s="4" t="s">
        <v>266</v>
      </c>
      <c r="G49" s="8" t="s">
        <v>268</v>
      </c>
    </row>
    <row r="50" customFormat="false" ht="35.05" hidden="false" customHeight="false" outlineLevel="0" collapsed="false">
      <c r="A50" s="4" t="s">
        <v>8</v>
      </c>
      <c r="B50" s="4" t="s">
        <v>33</v>
      </c>
      <c r="C50" s="4" t="n">
        <v>501.6</v>
      </c>
      <c r="D50" s="8" t="s">
        <v>264</v>
      </c>
      <c r="E50" s="4" t="s">
        <v>265</v>
      </c>
      <c r="F50" s="4" t="s">
        <v>266</v>
      </c>
      <c r="G50" s="8" t="s">
        <v>268</v>
      </c>
    </row>
    <row r="51" customFormat="false" ht="35.05" hidden="false" customHeight="false" outlineLevel="0" collapsed="false">
      <c r="A51" s="4" t="s">
        <v>5</v>
      </c>
      <c r="B51" s="4" t="s">
        <v>34</v>
      </c>
      <c r="C51" s="4" t="n">
        <v>891.14</v>
      </c>
      <c r="D51" s="8" t="s">
        <v>264</v>
      </c>
      <c r="E51" s="4" t="s">
        <v>265</v>
      </c>
      <c r="F51" s="4" t="s">
        <v>266</v>
      </c>
      <c r="G51" s="8" t="s">
        <v>268</v>
      </c>
    </row>
    <row r="52" customFormat="false" ht="35.05" hidden="false" customHeight="false" outlineLevel="0" collapsed="false">
      <c r="A52" s="4" t="s">
        <v>6</v>
      </c>
      <c r="B52" s="4" t="s">
        <v>34</v>
      </c>
      <c r="C52" s="4" t="n">
        <v>0</v>
      </c>
      <c r="D52" s="8" t="s">
        <v>264</v>
      </c>
      <c r="E52" s="4" t="s">
        <v>265</v>
      </c>
      <c r="F52" s="4" t="s">
        <v>266</v>
      </c>
      <c r="G52" s="8" t="s">
        <v>268</v>
      </c>
    </row>
    <row r="53" customFormat="false" ht="35.05" hidden="false" customHeight="false" outlineLevel="0" collapsed="false">
      <c r="A53" s="4" t="s">
        <v>9</v>
      </c>
      <c r="B53" s="4" t="s">
        <v>34</v>
      </c>
      <c r="C53" s="4" t="n">
        <v>161.49</v>
      </c>
      <c r="D53" s="8" t="s">
        <v>264</v>
      </c>
      <c r="E53" s="4" t="s">
        <v>265</v>
      </c>
      <c r="F53" s="4" t="s">
        <v>266</v>
      </c>
      <c r="G53" s="8" t="s">
        <v>268</v>
      </c>
    </row>
    <row r="54" customFormat="false" ht="35.05" hidden="false" customHeight="false" outlineLevel="0" collapsed="false">
      <c r="A54" s="4" t="s">
        <v>7</v>
      </c>
      <c r="B54" s="4" t="s">
        <v>34</v>
      </c>
      <c r="C54" s="4" t="n">
        <v>233.82</v>
      </c>
      <c r="D54" s="8" t="s">
        <v>264</v>
      </c>
      <c r="E54" s="4" t="s">
        <v>265</v>
      </c>
      <c r="F54" s="4" t="s">
        <v>266</v>
      </c>
      <c r="G54" s="8" t="s">
        <v>268</v>
      </c>
    </row>
    <row r="55" customFormat="false" ht="35.05" hidden="false" customHeight="false" outlineLevel="0" collapsed="false">
      <c r="A55" s="4" t="s">
        <v>8</v>
      </c>
      <c r="B55" s="4" t="s">
        <v>34</v>
      </c>
      <c r="C55" s="4" t="n">
        <v>5035.35</v>
      </c>
      <c r="D55" s="8" t="s">
        <v>264</v>
      </c>
      <c r="E55" s="4" t="s">
        <v>265</v>
      </c>
      <c r="F55" s="4" t="s">
        <v>266</v>
      </c>
      <c r="G55" s="8" t="s">
        <v>268</v>
      </c>
    </row>
    <row r="56" customFormat="false" ht="35.05" hidden="false" customHeight="false" outlineLevel="0" collapsed="false">
      <c r="A56" s="4" t="s">
        <v>5</v>
      </c>
      <c r="B56" s="4" t="s">
        <v>35</v>
      </c>
      <c r="C56" s="4" t="n">
        <v>2026.67</v>
      </c>
      <c r="D56" s="8" t="s">
        <v>264</v>
      </c>
      <c r="E56" s="4" t="s">
        <v>265</v>
      </c>
      <c r="F56" s="4" t="s">
        <v>266</v>
      </c>
      <c r="G56" s="8" t="s">
        <v>268</v>
      </c>
    </row>
    <row r="57" customFormat="false" ht="35.05" hidden="false" customHeight="false" outlineLevel="0" collapsed="false">
      <c r="A57" s="4" t="s">
        <v>6</v>
      </c>
      <c r="B57" s="4" t="s">
        <v>35</v>
      </c>
      <c r="C57" s="4" t="n">
        <v>0</v>
      </c>
      <c r="D57" s="8" t="s">
        <v>264</v>
      </c>
      <c r="E57" s="4" t="s">
        <v>265</v>
      </c>
      <c r="F57" s="4" t="s">
        <v>266</v>
      </c>
      <c r="G57" s="8" t="s">
        <v>268</v>
      </c>
    </row>
    <row r="58" customFormat="false" ht="35.05" hidden="false" customHeight="false" outlineLevel="0" collapsed="false">
      <c r="A58" s="4" t="s">
        <v>9</v>
      </c>
      <c r="B58" s="4" t="s">
        <v>35</v>
      </c>
      <c r="C58" s="4" t="n">
        <v>289.92</v>
      </c>
      <c r="D58" s="8" t="s">
        <v>264</v>
      </c>
      <c r="E58" s="4" t="s">
        <v>265</v>
      </c>
      <c r="F58" s="4" t="s">
        <v>266</v>
      </c>
      <c r="G58" s="8" t="s">
        <v>268</v>
      </c>
    </row>
    <row r="59" customFormat="false" ht="35.05" hidden="false" customHeight="false" outlineLevel="0" collapsed="false">
      <c r="A59" s="4" t="s">
        <v>7</v>
      </c>
      <c r="B59" s="4" t="s">
        <v>35</v>
      </c>
      <c r="C59" s="4" t="n">
        <v>108.9</v>
      </c>
      <c r="D59" s="8" t="s">
        <v>264</v>
      </c>
      <c r="E59" s="4" t="s">
        <v>265</v>
      </c>
      <c r="F59" s="4" t="s">
        <v>266</v>
      </c>
      <c r="G59" s="8" t="s">
        <v>268</v>
      </c>
    </row>
    <row r="60" customFormat="false" ht="35.05" hidden="false" customHeight="false" outlineLevel="0" collapsed="false">
      <c r="A60" s="4" t="s">
        <v>8</v>
      </c>
      <c r="B60" s="4" t="s">
        <v>35</v>
      </c>
      <c r="C60" s="4" t="n">
        <v>120</v>
      </c>
      <c r="D60" s="8" t="s">
        <v>264</v>
      </c>
      <c r="E60" s="4" t="s">
        <v>265</v>
      </c>
      <c r="F60" s="4" t="s">
        <v>266</v>
      </c>
      <c r="G60" s="8" t="s">
        <v>268</v>
      </c>
    </row>
    <row r="61" customFormat="false" ht="35.05" hidden="false" customHeight="false" outlineLevel="0" collapsed="false">
      <c r="A61" s="4" t="s">
        <v>5</v>
      </c>
      <c r="B61" s="4" t="s">
        <v>37</v>
      </c>
      <c r="C61" s="4" t="n">
        <v>143.4</v>
      </c>
      <c r="D61" s="8" t="s">
        <v>264</v>
      </c>
      <c r="E61" s="4" t="s">
        <v>265</v>
      </c>
      <c r="F61" s="4" t="s">
        <v>266</v>
      </c>
      <c r="G61" s="8" t="s">
        <v>268</v>
      </c>
    </row>
    <row r="62" customFormat="false" ht="35.05" hidden="false" customHeight="false" outlineLevel="0" collapsed="false">
      <c r="A62" s="4" t="s">
        <v>6</v>
      </c>
      <c r="B62" s="4" t="s">
        <v>37</v>
      </c>
      <c r="C62" s="4" t="n">
        <v>0</v>
      </c>
      <c r="D62" s="8" t="s">
        <v>264</v>
      </c>
      <c r="E62" s="4" t="s">
        <v>265</v>
      </c>
      <c r="F62" s="4" t="s">
        <v>266</v>
      </c>
      <c r="G62" s="8" t="s">
        <v>268</v>
      </c>
    </row>
    <row r="63" customFormat="false" ht="35.05" hidden="false" customHeight="false" outlineLevel="0" collapsed="false">
      <c r="A63" s="4" t="s">
        <v>9</v>
      </c>
      <c r="B63" s="4" t="s">
        <v>37</v>
      </c>
      <c r="C63" s="4" t="n">
        <v>3.75</v>
      </c>
      <c r="D63" s="8" t="s">
        <v>264</v>
      </c>
      <c r="E63" s="4" t="s">
        <v>265</v>
      </c>
      <c r="F63" s="4" t="s">
        <v>266</v>
      </c>
      <c r="G63" s="8" t="s">
        <v>268</v>
      </c>
    </row>
    <row r="64" customFormat="false" ht="35.05" hidden="false" customHeight="false" outlineLevel="0" collapsed="false">
      <c r="A64" s="4" t="s">
        <v>7</v>
      </c>
      <c r="B64" s="4" t="s">
        <v>37</v>
      </c>
      <c r="C64" s="4" t="n">
        <v>0</v>
      </c>
      <c r="D64" s="8" t="s">
        <v>264</v>
      </c>
      <c r="E64" s="4" t="s">
        <v>265</v>
      </c>
      <c r="F64" s="4" t="s">
        <v>266</v>
      </c>
      <c r="G64" s="8" t="s">
        <v>268</v>
      </c>
    </row>
    <row r="65" customFormat="false" ht="35.05" hidden="false" customHeight="false" outlineLevel="0" collapsed="false">
      <c r="A65" s="4" t="s">
        <v>8</v>
      </c>
      <c r="B65" s="4" t="s">
        <v>37</v>
      </c>
      <c r="C65" s="4" t="n">
        <v>0</v>
      </c>
      <c r="D65" s="8" t="s">
        <v>264</v>
      </c>
      <c r="E65" s="4" t="s">
        <v>265</v>
      </c>
      <c r="F65" s="4" t="s">
        <v>266</v>
      </c>
      <c r="G65" s="8" t="s">
        <v>268</v>
      </c>
    </row>
    <row r="66" customFormat="false" ht="35.05" hidden="false" customHeight="false" outlineLevel="0" collapsed="false">
      <c r="A66" s="4" t="s">
        <v>5</v>
      </c>
      <c r="B66" s="4" t="s">
        <v>38</v>
      </c>
      <c r="C66" s="4" t="n">
        <v>89.51</v>
      </c>
      <c r="D66" s="8" t="s">
        <v>264</v>
      </c>
      <c r="E66" s="4" t="s">
        <v>265</v>
      </c>
      <c r="F66" s="4" t="s">
        <v>266</v>
      </c>
      <c r="G66" s="8" t="s">
        <v>268</v>
      </c>
    </row>
    <row r="67" customFormat="false" ht="35.05" hidden="false" customHeight="false" outlineLevel="0" collapsed="false">
      <c r="A67" s="4" t="s">
        <v>6</v>
      </c>
      <c r="B67" s="4" t="s">
        <v>38</v>
      </c>
      <c r="C67" s="4" t="n">
        <v>0</v>
      </c>
      <c r="D67" s="8" t="s">
        <v>264</v>
      </c>
      <c r="E67" s="4" t="s">
        <v>265</v>
      </c>
      <c r="F67" s="4" t="s">
        <v>266</v>
      </c>
      <c r="G67" s="8" t="s">
        <v>268</v>
      </c>
    </row>
    <row r="68" customFormat="false" ht="35.05" hidden="false" customHeight="false" outlineLevel="0" collapsed="false">
      <c r="A68" s="4" t="s">
        <v>9</v>
      </c>
      <c r="B68" s="4" t="s">
        <v>38</v>
      </c>
      <c r="C68" s="4" t="n">
        <v>1.94</v>
      </c>
      <c r="D68" s="8" t="s">
        <v>264</v>
      </c>
      <c r="E68" s="4" t="s">
        <v>265</v>
      </c>
      <c r="F68" s="4" t="s">
        <v>266</v>
      </c>
      <c r="G68" s="8" t="s">
        <v>268</v>
      </c>
    </row>
    <row r="69" customFormat="false" ht="35.05" hidden="false" customHeight="false" outlineLevel="0" collapsed="false">
      <c r="A69" s="4" t="s">
        <v>7</v>
      </c>
      <c r="B69" s="4" t="s">
        <v>38</v>
      </c>
      <c r="C69" s="4" t="n">
        <v>0.05</v>
      </c>
      <c r="D69" s="8" t="s">
        <v>264</v>
      </c>
      <c r="E69" s="4" t="s">
        <v>265</v>
      </c>
      <c r="F69" s="4" t="s">
        <v>266</v>
      </c>
      <c r="G69" s="8" t="s">
        <v>268</v>
      </c>
    </row>
    <row r="70" customFormat="false" ht="35.05" hidden="false" customHeight="false" outlineLevel="0" collapsed="false">
      <c r="A70" s="4" t="s">
        <v>8</v>
      </c>
      <c r="B70" s="4" t="s">
        <v>38</v>
      </c>
      <c r="C70" s="4" t="n">
        <v>0</v>
      </c>
      <c r="D70" s="8" t="s">
        <v>264</v>
      </c>
      <c r="E70" s="4" t="s">
        <v>265</v>
      </c>
      <c r="F70" s="4" t="s">
        <v>266</v>
      </c>
      <c r="G70" s="8" t="s">
        <v>268</v>
      </c>
    </row>
    <row r="71" customFormat="false" ht="35.05" hidden="false" customHeight="false" outlineLevel="0" collapsed="false">
      <c r="A71" s="4" t="s">
        <v>5</v>
      </c>
      <c r="B71" s="4" t="s">
        <v>39</v>
      </c>
      <c r="C71" s="4" t="n">
        <v>33220.04</v>
      </c>
      <c r="D71" s="8" t="s">
        <v>264</v>
      </c>
      <c r="E71" s="4" t="s">
        <v>265</v>
      </c>
      <c r="F71" s="4" t="s">
        <v>266</v>
      </c>
      <c r="G71" s="8" t="s">
        <v>268</v>
      </c>
    </row>
    <row r="72" customFormat="false" ht="35.05" hidden="false" customHeight="false" outlineLevel="0" collapsed="false">
      <c r="A72" s="4" t="s">
        <v>6</v>
      </c>
      <c r="B72" s="4" t="s">
        <v>39</v>
      </c>
      <c r="C72" s="4" t="n">
        <v>16086.66</v>
      </c>
      <c r="D72" s="8" t="s">
        <v>264</v>
      </c>
      <c r="E72" s="4" t="s">
        <v>265</v>
      </c>
      <c r="F72" s="4" t="s">
        <v>266</v>
      </c>
      <c r="G72" s="8" t="s">
        <v>268</v>
      </c>
    </row>
    <row r="73" customFormat="false" ht="35.05" hidden="false" customHeight="false" outlineLevel="0" collapsed="false">
      <c r="A73" s="4" t="s">
        <v>9</v>
      </c>
      <c r="B73" s="4" t="s">
        <v>39</v>
      </c>
      <c r="C73" s="4" t="n">
        <v>129.85</v>
      </c>
      <c r="D73" s="8" t="s">
        <v>264</v>
      </c>
      <c r="E73" s="4" t="s">
        <v>265</v>
      </c>
      <c r="F73" s="4" t="s">
        <v>266</v>
      </c>
      <c r="G73" s="8" t="s">
        <v>268</v>
      </c>
    </row>
    <row r="74" customFormat="false" ht="35.05" hidden="false" customHeight="false" outlineLevel="0" collapsed="false">
      <c r="A74" s="4" t="s">
        <v>7</v>
      </c>
      <c r="B74" s="4" t="s">
        <v>39</v>
      </c>
      <c r="C74" s="4" t="n">
        <v>113.3</v>
      </c>
      <c r="D74" s="8" t="s">
        <v>264</v>
      </c>
      <c r="E74" s="4" t="s">
        <v>265</v>
      </c>
      <c r="F74" s="4" t="s">
        <v>266</v>
      </c>
      <c r="G74" s="8" t="s">
        <v>268</v>
      </c>
    </row>
    <row r="75" customFormat="false" ht="35.05" hidden="false" customHeight="false" outlineLevel="0" collapsed="false">
      <c r="A75" s="4" t="s">
        <v>8</v>
      </c>
      <c r="B75" s="4" t="s">
        <v>39</v>
      </c>
      <c r="C75" s="4" t="n">
        <v>1990</v>
      </c>
      <c r="D75" s="8" t="s">
        <v>264</v>
      </c>
      <c r="E75" s="4" t="s">
        <v>265</v>
      </c>
      <c r="F75" s="4" t="s">
        <v>266</v>
      </c>
      <c r="G75" s="8" t="s">
        <v>268</v>
      </c>
    </row>
    <row r="76" customFormat="false" ht="35.05" hidden="false" customHeight="false" outlineLevel="0" collapsed="false">
      <c r="A76" s="4" t="s">
        <v>5</v>
      </c>
      <c r="B76" s="4" t="s">
        <v>40</v>
      </c>
      <c r="C76" s="4" t="n">
        <v>6332.42</v>
      </c>
      <c r="D76" s="8" t="s">
        <v>264</v>
      </c>
      <c r="E76" s="4" t="s">
        <v>265</v>
      </c>
      <c r="F76" s="4" t="s">
        <v>266</v>
      </c>
      <c r="G76" s="8" t="s">
        <v>268</v>
      </c>
    </row>
    <row r="77" customFormat="false" ht="35.05" hidden="false" customHeight="false" outlineLevel="0" collapsed="false">
      <c r="A77" s="4" t="s">
        <v>6</v>
      </c>
      <c r="B77" s="4" t="s">
        <v>40</v>
      </c>
      <c r="C77" s="4" t="n">
        <v>3686.45</v>
      </c>
      <c r="D77" s="8" t="s">
        <v>264</v>
      </c>
      <c r="E77" s="4" t="s">
        <v>265</v>
      </c>
      <c r="F77" s="4" t="s">
        <v>266</v>
      </c>
      <c r="G77" s="8" t="s">
        <v>268</v>
      </c>
    </row>
    <row r="78" customFormat="false" ht="35.05" hidden="false" customHeight="false" outlineLevel="0" collapsed="false">
      <c r="A78" s="4" t="s">
        <v>9</v>
      </c>
      <c r="B78" s="4" t="s">
        <v>40</v>
      </c>
      <c r="C78" s="4" t="n">
        <v>159.46</v>
      </c>
      <c r="D78" s="8" t="s">
        <v>264</v>
      </c>
      <c r="E78" s="4" t="s">
        <v>265</v>
      </c>
      <c r="F78" s="4" t="s">
        <v>266</v>
      </c>
      <c r="G78" s="8" t="s">
        <v>268</v>
      </c>
    </row>
    <row r="79" customFormat="false" ht="35.05" hidden="false" customHeight="false" outlineLevel="0" collapsed="false">
      <c r="A79" s="4" t="s">
        <v>7</v>
      </c>
      <c r="B79" s="4" t="s">
        <v>40</v>
      </c>
      <c r="C79" s="4" t="n">
        <v>123.71</v>
      </c>
      <c r="D79" s="8" t="s">
        <v>264</v>
      </c>
      <c r="E79" s="4" t="s">
        <v>265</v>
      </c>
      <c r="F79" s="4" t="s">
        <v>266</v>
      </c>
      <c r="G79" s="8" t="s">
        <v>268</v>
      </c>
    </row>
    <row r="80" customFormat="false" ht="35.05" hidden="false" customHeight="false" outlineLevel="0" collapsed="false">
      <c r="A80" s="4" t="s">
        <v>8</v>
      </c>
      <c r="B80" s="4" t="s">
        <v>40</v>
      </c>
      <c r="C80" s="4" t="n">
        <v>2235</v>
      </c>
      <c r="D80" s="8" t="s">
        <v>264</v>
      </c>
      <c r="E80" s="4" t="s">
        <v>265</v>
      </c>
      <c r="F80" s="4" t="s">
        <v>266</v>
      </c>
      <c r="G80" s="8" t="s">
        <v>268</v>
      </c>
    </row>
    <row r="81" customFormat="false" ht="35.05" hidden="false" customHeight="false" outlineLevel="0" collapsed="false">
      <c r="A81" s="4" t="s">
        <v>5</v>
      </c>
      <c r="B81" s="4" t="s">
        <v>41</v>
      </c>
      <c r="C81" s="4" t="n">
        <v>20312.37</v>
      </c>
      <c r="D81" s="8" t="s">
        <v>264</v>
      </c>
      <c r="E81" s="4" t="s">
        <v>265</v>
      </c>
      <c r="F81" s="4" t="s">
        <v>266</v>
      </c>
      <c r="G81" s="8" t="s">
        <v>268</v>
      </c>
    </row>
    <row r="82" customFormat="false" ht="35.05" hidden="false" customHeight="false" outlineLevel="0" collapsed="false">
      <c r="A82" s="4" t="s">
        <v>6</v>
      </c>
      <c r="B82" s="4" t="s">
        <v>41</v>
      </c>
      <c r="C82" s="4" t="n">
        <v>6318.71</v>
      </c>
      <c r="D82" s="8" t="s">
        <v>264</v>
      </c>
      <c r="E82" s="4" t="s">
        <v>265</v>
      </c>
      <c r="F82" s="4" t="s">
        <v>266</v>
      </c>
      <c r="G82" s="8" t="s">
        <v>268</v>
      </c>
    </row>
    <row r="83" customFormat="false" ht="35.05" hidden="false" customHeight="false" outlineLevel="0" collapsed="false">
      <c r="A83" s="4" t="s">
        <v>9</v>
      </c>
      <c r="B83" s="4" t="s">
        <v>41</v>
      </c>
      <c r="C83" s="4" t="n">
        <v>2999.97</v>
      </c>
      <c r="D83" s="8" t="s">
        <v>264</v>
      </c>
      <c r="E83" s="4" t="s">
        <v>265</v>
      </c>
      <c r="F83" s="4" t="s">
        <v>266</v>
      </c>
      <c r="G83" s="8" t="s">
        <v>268</v>
      </c>
    </row>
    <row r="84" customFormat="false" ht="35.05" hidden="false" customHeight="false" outlineLevel="0" collapsed="false">
      <c r="A84" s="4" t="s">
        <v>7</v>
      </c>
      <c r="B84" s="4" t="s">
        <v>41</v>
      </c>
      <c r="C84" s="4" t="n">
        <v>384.28</v>
      </c>
      <c r="D84" s="8" t="s">
        <v>264</v>
      </c>
      <c r="E84" s="4" t="s">
        <v>265</v>
      </c>
      <c r="F84" s="4" t="s">
        <v>266</v>
      </c>
      <c r="G84" s="8" t="s">
        <v>268</v>
      </c>
    </row>
    <row r="85" customFormat="false" ht="35.05" hidden="false" customHeight="false" outlineLevel="0" collapsed="false">
      <c r="A85" s="4" t="s">
        <v>8</v>
      </c>
      <c r="B85" s="4" t="s">
        <v>41</v>
      </c>
      <c r="C85" s="4" t="n">
        <v>3047</v>
      </c>
      <c r="D85" s="8" t="s">
        <v>264</v>
      </c>
      <c r="E85" s="4" t="s">
        <v>265</v>
      </c>
      <c r="F85" s="4" t="s">
        <v>266</v>
      </c>
      <c r="G85" s="8" t="s">
        <v>268</v>
      </c>
    </row>
    <row r="86" customFormat="false" ht="35.05" hidden="false" customHeight="false" outlineLevel="0" collapsed="false">
      <c r="A86" s="4" t="s">
        <v>5</v>
      </c>
      <c r="B86" s="4" t="s">
        <v>42</v>
      </c>
      <c r="C86" s="4" t="n">
        <v>8069.76</v>
      </c>
      <c r="D86" s="8" t="s">
        <v>264</v>
      </c>
      <c r="E86" s="4" t="s">
        <v>265</v>
      </c>
      <c r="F86" s="4" t="s">
        <v>266</v>
      </c>
      <c r="G86" s="8" t="s">
        <v>268</v>
      </c>
    </row>
    <row r="87" customFormat="false" ht="35.05" hidden="false" customHeight="false" outlineLevel="0" collapsed="false">
      <c r="A87" s="4" t="s">
        <v>6</v>
      </c>
      <c r="B87" s="4" t="s">
        <v>42</v>
      </c>
      <c r="C87" s="4" t="n">
        <v>4461.58</v>
      </c>
      <c r="D87" s="8" t="s">
        <v>264</v>
      </c>
      <c r="E87" s="4" t="s">
        <v>265</v>
      </c>
      <c r="F87" s="4" t="s">
        <v>266</v>
      </c>
      <c r="G87" s="8" t="s">
        <v>268</v>
      </c>
    </row>
    <row r="88" customFormat="false" ht="35.05" hidden="false" customHeight="false" outlineLevel="0" collapsed="false">
      <c r="A88" s="4" t="s">
        <v>9</v>
      </c>
      <c r="B88" s="4" t="s">
        <v>42</v>
      </c>
      <c r="C88" s="4" t="n">
        <v>615.02</v>
      </c>
      <c r="D88" s="8" t="s">
        <v>264</v>
      </c>
      <c r="E88" s="4" t="s">
        <v>265</v>
      </c>
      <c r="F88" s="4" t="s">
        <v>266</v>
      </c>
      <c r="G88" s="8" t="s">
        <v>268</v>
      </c>
    </row>
    <row r="89" customFormat="false" ht="35.05" hidden="false" customHeight="false" outlineLevel="0" collapsed="false">
      <c r="A89" s="4" t="s">
        <v>7</v>
      </c>
      <c r="B89" s="4" t="s">
        <v>42</v>
      </c>
      <c r="C89" s="4" t="n">
        <v>164.51</v>
      </c>
      <c r="D89" s="8" t="s">
        <v>264</v>
      </c>
      <c r="E89" s="4" t="s">
        <v>265</v>
      </c>
      <c r="F89" s="4" t="s">
        <v>266</v>
      </c>
      <c r="G89" s="8" t="s">
        <v>268</v>
      </c>
    </row>
    <row r="90" customFormat="false" ht="35.05" hidden="false" customHeight="false" outlineLevel="0" collapsed="false">
      <c r="A90" s="4" t="s">
        <v>8</v>
      </c>
      <c r="B90" s="4" t="s">
        <v>42</v>
      </c>
      <c r="C90" s="4" t="n">
        <v>3290</v>
      </c>
      <c r="D90" s="8" t="s">
        <v>264</v>
      </c>
      <c r="E90" s="4" t="s">
        <v>265</v>
      </c>
      <c r="F90" s="4" t="s">
        <v>266</v>
      </c>
      <c r="G90" s="8" t="s">
        <v>268</v>
      </c>
    </row>
    <row r="91" customFormat="false" ht="35.05" hidden="false" customHeight="false" outlineLevel="0" collapsed="false">
      <c r="A91" s="4" t="s">
        <v>5</v>
      </c>
      <c r="B91" s="4" t="s">
        <v>44</v>
      </c>
      <c r="C91" s="4" t="n">
        <v>11535.04</v>
      </c>
      <c r="D91" s="8" t="s">
        <v>264</v>
      </c>
      <c r="E91" s="4" t="s">
        <v>265</v>
      </c>
      <c r="F91" s="4" t="s">
        <v>266</v>
      </c>
      <c r="G91" s="8" t="s">
        <v>268</v>
      </c>
    </row>
    <row r="92" customFormat="false" ht="35.05" hidden="false" customHeight="false" outlineLevel="0" collapsed="false">
      <c r="A92" s="4" t="s">
        <v>6</v>
      </c>
      <c r="B92" s="4" t="s">
        <v>44</v>
      </c>
      <c r="C92" s="4" t="n">
        <v>8896.34</v>
      </c>
      <c r="D92" s="8" t="s">
        <v>264</v>
      </c>
      <c r="E92" s="4" t="s">
        <v>265</v>
      </c>
      <c r="F92" s="4" t="s">
        <v>266</v>
      </c>
      <c r="G92" s="8" t="s">
        <v>268</v>
      </c>
    </row>
    <row r="93" customFormat="false" ht="35.05" hidden="false" customHeight="false" outlineLevel="0" collapsed="false">
      <c r="A93" s="4" t="s">
        <v>9</v>
      </c>
      <c r="B93" s="4" t="s">
        <v>44</v>
      </c>
      <c r="C93" s="4" t="n">
        <v>1917.05</v>
      </c>
      <c r="D93" s="8" t="s">
        <v>264</v>
      </c>
      <c r="E93" s="4" t="s">
        <v>265</v>
      </c>
      <c r="F93" s="4" t="s">
        <v>266</v>
      </c>
      <c r="G93" s="8" t="s">
        <v>268</v>
      </c>
    </row>
    <row r="94" customFormat="false" ht="35.05" hidden="false" customHeight="false" outlineLevel="0" collapsed="false">
      <c r="A94" s="4" t="s">
        <v>7</v>
      </c>
      <c r="B94" s="4" t="s">
        <v>44</v>
      </c>
      <c r="C94" s="4" t="n">
        <v>1284.73</v>
      </c>
      <c r="D94" s="8" t="s">
        <v>264</v>
      </c>
      <c r="E94" s="4" t="s">
        <v>265</v>
      </c>
      <c r="F94" s="4" t="s">
        <v>266</v>
      </c>
      <c r="G94" s="8" t="s">
        <v>268</v>
      </c>
    </row>
    <row r="95" customFormat="false" ht="35.05" hidden="false" customHeight="false" outlineLevel="0" collapsed="false">
      <c r="A95" s="4" t="s">
        <v>8</v>
      </c>
      <c r="B95" s="4" t="s">
        <v>44</v>
      </c>
      <c r="C95" s="4" t="n">
        <v>3689.2</v>
      </c>
      <c r="D95" s="8" t="s">
        <v>264</v>
      </c>
      <c r="E95" s="4" t="s">
        <v>265</v>
      </c>
      <c r="F95" s="4" t="s">
        <v>266</v>
      </c>
      <c r="G95" s="8" t="s">
        <v>268</v>
      </c>
    </row>
    <row r="96" customFormat="false" ht="35.05" hidden="false" customHeight="false" outlineLevel="0" collapsed="false">
      <c r="A96" s="4" t="s">
        <v>5</v>
      </c>
      <c r="B96" s="4" t="s">
        <v>45</v>
      </c>
      <c r="C96" s="4" t="n">
        <v>2404.2</v>
      </c>
      <c r="D96" s="8" t="s">
        <v>264</v>
      </c>
      <c r="E96" s="4" t="s">
        <v>265</v>
      </c>
      <c r="F96" s="4" t="s">
        <v>266</v>
      </c>
      <c r="G96" s="8" t="s">
        <v>268</v>
      </c>
    </row>
    <row r="97" customFormat="false" ht="35.05" hidden="false" customHeight="false" outlineLevel="0" collapsed="false">
      <c r="A97" s="4" t="s">
        <v>6</v>
      </c>
      <c r="B97" s="4" t="s">
        <v>45</v>
      </c>
      <c r="C97" s="4" t="n">
        <v>71.52</v>
      </c>
      <c r="D97" s="8" t="s">
        <v>264</v>
      </c>
      <c r="E97" s="4" t="s">
        <v>265</v>
      </c>
      <c r="F97" s="4" t="s">
        <v>266</v>
      </c>
      <c r="G97" s="8" t="s">
        <v>268</v>
      </c>
    </row>
    <row r="98" customFormat="false" ht="35.05" hidden="false" customHeight="false" outlineLevel="0" collapsed="false">
      <c r="A98" s="4" t="s">
        <v>9</v>
      </c>
      <c r="B98" s="4" t="s">
        <v>45</v>
      </c>
      <c r="C98" s="4" t="n">
        <v>2.5</v>
      </c>
      <c r="D98" s="8" t="s">
        <v>264</v>
      </c>
      <c r="E98" s="4" t="s">
        <v>265</v>
      </c>
      <c r="F98" s="4" t="s">
        <v>266</v>
      </c>
      <c r="G98" s="8" t="s">
        <v>268</v>
      </c>
    </row>
    <row r="99" customFormat="false" ht="35.05" hidden="false" customHeight="false" outlineLevel="0" collapsed="false">
      <c r="A99" s="4" t="s">
        <v>7</v>
      </c>
      <c r="B99" s="4" t="s">
        <v>45</v>
      </c>
      <c r="C99" s="4" t="n">
        <v>276.52</v>
      </c>
      <c r="D99" s="8" t="s">
        <v>264</v>
      </c>
      <c r="E99" s="4" t="s">
        <v>265</v>
      </c>
      <c r="F99" s="4" t="s">
        <v>266</v>
      </c>
      <c r="G99" s="8" t="s">
        <v>268</v>
      </c>
    </row>
    <row r="100" customFormat="false" ht="35.05" hidden="false" customHeight="false" outlineLevel="0" collapsed="false">
      <c r="A100" s="4" t="s">
        <v>8</v>
      </c>
      <c r="B100" s="4" t="s">
        <v>45</v>
      </c>
      <c r="C100" s="4" t="n">
        <v>2008.15</v>
      </c>
      <c r="D100" s="8" t="s">
        <v>264</v>
      </c>
      <c r="E100" s="4" t="s">
        <v>265</v>
      </c>
      <c r="F100" s="4" t="s">
        <v>266</v>
      </c>
      <c r="G100" s="8" t="s">
        <v>268</v>
      </c>
    </row>
    <row r="101" customFormat="false" ht="35.05" hidden="false" customHeight="false" outlineLevel="0" collapsed="false">
      <c r="A101" s="4" t="s">
        <v>5</v>
      </c>
      <c r="B101" s="4" t="s">
        <v>46</v>
      </c>
      <c r="C101" s="4" t="n">
        <v>9.27</v>
      </c>
      <c r="D101" s="8" t="s">
        <v>264</v>
      </c>
      <c r="E101" s="4" t="s">
        <v>265</v>
      </c>
      <c r="F101" s="4" t="s">
        <v>266</v>
      </c>
      <c r="G101" s="8" t="s">
        <v>268</v>
      </c>
    </row>
    <row r="102" customFormat="false" ht="35.05" hidden="false" customHeight="false" outlineLevel="0" collapsed="false">
      <c r="A102" s="4" t="s">
        <v>6</v>
      </c>
      <c r="B102" s="4" t="s">
        <v>46</v>
      </c>
      <c r="C102" s="4" t="n">
        <v>0</v>
      </c>
      <c r="D102" s="8" t="s">
        <v>264</v>
      </c>
      <c r="E102" s="4" t="s">
        <v>265</v>
      </c>
      <c r="F102" s="4" t="s">
        <v>266</v>
      </c>
      <c r="G102" s="8" t="s">
        <v>268</v>
      </c>
    </row>
    <row r="103" customFormat="false" ht="35.05" hidden="false" customHeight="false" outlineLevel="0" collapsed="false">
      <c r="A103" s="4" t="s">
        <v>9</v>
      </c>
      <c r="B103" s="4" t="s">
        <v>46</v>
      </c>
      <c r="C103" s="4" t="n">
        <v>0</v>
      </c>
      <c r="D103" s="8" t="s">
        <v>264</v>
      </c>
      <c r="E103" s="4" t="s">
        <v>265</v>
      </c>
      <c r="F103" s="4" t="s">
        <v>266</v>
      </c>
      <c r="G103" s="8" t="s">
        <v>268</v>
      </c>
    </row>
    <row r="104" customFormat="false" ht="35.05" hidden="false" customHeight="false" outlineLevel="0" collapsed="false">
      <c r="A104" s="4" t="s">
        <v>7</v>
      </c>
      <c r="B104" s="4" t="s">
        <v>46</v>
      </c>
      <c r="C104" s="4" t="n">
        <v>0</v>
      </c>
      <c r="D104" s="8" t="s">
        <v>264</v>
      </c>
      <c r="E104" s="4" t="s">
        <v>265</v>
      </c>
      <c r="F104" s="4" t="s">
        <v>266</v>
      </c>
      <c r="G104" s="8" t="s">
        <v>268</v>
      </c>
    </row>
    <row r="105" customFormat="false" ht="35.05" hidden="false" customHeight="false" outlineLevel="0" collapsed="false">
      <c r="A105" s="4" t="s">
        <v>8</v>
      </c>
      <c r="B105" s="4" t="s">
        <v>46</v>
      </c>
      <c r="C105" s="4" t="n">
        <v>0</v>
      </c>
      <c r="D105" s="8" t="s">
        <v>264</v>
      </c>
      <c r="E105" s="4" t="s">
        <v>265</v>
      </c>
      <c r="F105" s="4" t="s">
        <v>266</v>
      </c>
      <c r="G105" s="8" t="s">
        <v>268</v>
      </c>
    </row>
    <row r="106" customFormat="false" ht="35.05" hidden="false" customHeight="false" outlineLevel="0" collapsed="false">
      <c r="A106" s="4" t="s">
        <v>5</v>
      </c>
      <c r="B106" s="4" t="s">
        <v>47</v>
      </c>
      <c r="C106" s="4" t="n">
        <v>85.71</v>
      </c>
      <c r="D106" s="8" t="s">
        <v>264</v>
      </c>
      <c r="E106" s="4" t="s">
        <v>265</v>
      </c>
      <c r="F106" s="4" t="s">
        <v>266</v>
      </c>
      <c r="G106" s="8" t="s">
        <v>268</v>
      </c>
    </row>
    <row r="107" customFormat="false" ht="35.05" hidden="false" customHeight="false" outlineLevel="0" collapsed="false">
      <c r="A107" s="4" t="s">
        <v>6</v>
      </c>
      <c r="B107" s="4" t="s">
        <v>47</v>
      </c>
      <c r="C107" s="4" t="n">
        <v>0</v>
      </c>
      <c r="D107" s="8" t="s">
        <v>264</v>
      </c>
      <c r="E107" s="4" t="s">
        <v>265</v>
      </c>
      <c r="F107" s="4" t="s">
        <v>266</v>
      </c>
      <c r="G107" s="8" t="s">
        <v>268</v>
      </c>
    </row>
    <row r="108" customFormat="false" ht="35.05" hidden="false" customHeight="false" outlineLevel="0" collapsed="false">
      <c r="A108" s="4" t="s">
        <v>9</v>
      </c>
      <c r="B108" s="4" t="s">
        <v>47</v>
      </c>
      <c r="C108" s="4" t="n">
        <v>0</v>
      </c>
      <c r="D108" s="8" t="s">
        <v>264</v>
      </c>
      <c r="E108" s="4" t="s">
        <v>265</v>
      </c>
      <c r="F108" s="4" t="s">
        <v>266</v>
      </c>
      <c r="G108" s="8" t="s">
        <v>268</v>
      </c>
    </row>
    <row r="109" customFormat="false" ht="35.05" hidden="false" customHeight="false" outlineLevel="0" collapsed="false">
      <c r="A109" s="4" t="s">
        <v>7</v>
      </c>
      <c r="B109" s="4" t="s">
        <v>47</v>
      </c>
      <c r="C109" s="4" t="n">
        <v>0</v>
      </c>
      <c r="D109" s="8" t="s">
        <v>264</v>
      </c>
      <c r="E109" s="4" t="s">
        <v>265</v>
      </c>
      <c r="F109" s="4" t="s">
        <v>266</v>
      </c>
      <c r="G109" s="8" t="s">
        <v>268</v>
      </c>
    </row>
    <row r="110" customFormat="false" ht="35.05" hidden="false" customHeight="false" outlineLevel="0" collapsed="false">
      <c r="A110" s="4" t="s">
        <v>8</v>
      </c>
      <c r="B110" s="4" t="s">
        <v>47</v>
      </c>
      <c r="C110" s="4" t="n">
        <v>0</v>
      </c>
      <c r="D110" s="8" t="s">
        <v>264</v>
      </c>
      <c r="E110" s="4" t="s">
        <v>265</v>
      </c>
      <c r="F110" s="4" t="s">
        <v>266</v>
      </c>
      <c r="G110" s="8" t="s">
        <v>268</v>
      </c>
    </row>
    <row r="111" customFormat="false" ht="35.05" hidden="false" customHeight="false" outlineLevel="0" collapsed="false">
      <c r="A111" s="4" t="s">
        <v>5</v>
      </c>
      <c r="B111" s="4" t="s">
        <v>48</v>
      </c>
      <c r="C111" s="4" t="n">
        <v>14121.46</v>
      </c>
      <c r="D111" s="8" t="s">
        <v>264</v>
      </c>
      <c r="E111" s="4" t="s">
        <v>265</v>
      </c>
      <c r="F111" s="4" t="s">
        <v>266</v>
      </c>
      <c r="G111" s="8" t="s">
        <v>268</v>
      </c>
    </row>
    <row r="112" customFormat="false" ht="35.05" hidden="false" customHeight="false" outlineLevel="0" collapsed="false">
      <c r="A112" s="4" t="s">
        <v>6</v>
      </c>
      <c r="B112" s="4" t="s">
        <v>48</v>
      </c>
      <c r="C112" s="4" t="n">
        <v>12273.69</v>
      </c>
      <c r="D112" s="8" t="s">
        <v>264</v>
      </c>
      <c r="E112" s="4" t="s">
        <v>265</v>
      </c>
      <c r="F112" s="4" t="s">
        <v>266</v>
      </c>
      <c r="G112" s="8" t="s">
        <v>268</v>
      </c>
    </row>
    <row r="113" customFormat="false" ht="35.05" hidden="false" customHeight="false" outlineLevel="0" collapsed="false">
      <c r="A113" s="4" t="s">
        <v>9</v>
      </c>
      <c r="B113" s="4" t="s">
        <v>48</v>
      </c>
      <c r="C113" s="4" t="n">
        <v>1055.12</v>
      </c>
      <c r="D113" s="8" t="s">
        <v>264</v>
      </c>
      <c r="E113" s="4" t="s">
        <v>265</v>
      </c>
      <c r="F113" s="4" t="s">
        <v>266</v>
      </c>
      <c r="G113" s="8" t="s">
        <v>268</v>
      </c>
    </row>
    <row r="114" customFormat="false" ht="35.05" hidden="false" customHeight="false" outlineLevel="0" collapsed="false">
      <c r="A114" s="4" t="s">
        <v>7</v>
      </c>
      <c r="B114" s="4" t="s">
        <v>48</v>
      </c>
      <c r="C114" s="4" t="n">
        <v>123.05</v>
      </c>
      <c r="D114" s="8" t="s">
        <v>264</v>
      </c>
      <c r="E114" s="4" t="s">
        <v>265</v>
      </c>
      <c r="F114" s="4" t="s">
        <v>266</v>
      </c>
      <c r="G114" s="8" t="s">
        <v>268</v>
      </c>
    </row>
    <row r="115" customFormat="false" ht="35.05" hidden="false" customHeight="false" outlineLevel="0" collapsed="false">
      <c r="A115" s="4" t="s">
        <v>8</v>
      </c>
      <c r="B115" s="4" t="s">
        <v>48</v>
      </c>
      <c r="C115" s="4" t="n">
        <v>2203.2</v>
      </c>
      <c r="D115" s="8" t="s">
        <v>264</v>
      </c>
      <c r="E115" s="4" t="s">
        <v>265</v>
      </c>
      <c r="F115" s="4" t="s">
        <v>266</v>
      </c>
      <c r="G115" s="8" t="s">
        <v>268</v>
      </c>
    </row>
    <row r="116" customFormat="false" ht="35.05" hidden="false" customHeight="false" outlineLevel="0" collapsed="false">
      <c r="A116" s="4" t="s">
        <v>5</v>
      </c>
      <c r="B116" s="4" t="s">
        <v>49</v>
      </c>
      <c r="C116" s="4" t="n">
        <v>5165.1</v>
      </c>
      <c r="D116" s="8" t="s">
        <v>264</v>
      </c>
      <c r="E116" s="4" t="s">
        <v>265</v>
      </c>
      <c r="F116" s="4" t="s">
        <v>266</v>
      </c>
      <c r="G116" s="8" t="s">
        <v>268</v>
      </c>
    </row>
    <row r="117" customFormat="false" ht="35.05" hidden="false" customHeight="false" outlineLevel="0" collapsed="false">
      <c r="A117" s="4" t="s">
        <v>6</v>
      </c>
      <c r="B117" s="4" t="s">
        <v>49</v>
      </c>
      <c r="C117" s="4" t="n">
        <v>128.1</v>
      </c>
      <c r="D117" s="8" t="s">
        <v>264</v>
      </c>
      <c r="E117" s="4" t="s">
        <v>265</v>
      </c>
      <c r="F117" s="4" t="s">
        <v>266</v>
      </c>
      <c r="G117" s="8" t="s">
        <v>268</v>
      </c>
    </row>
    <row r="118" customFormat="false" ht="35.05" hidden="false" customHeight="false" outlineLevel="0" collapsed="false">
      <c r="A118" s="4" t="s">
        <v>9</v>
      </c>
      <c r="B118" s="4" t="s">
        <v>49</v>
      </c>
      <c r="C118" s="4" t="n">
        <v>242.11</v>
      </c>
      <c r="D118" s="8" t="s">
        <v>264</v>
      </c>
      <c r="E118" s="4" t="s">
        <v>265</v>
      </c>
      <c r="F118" s="4" t="s">
        <v>266</v>
      </c>
      <c r="G118" s="8" t="s">
        <v>268</v>
      </c>
    </row>
    <row r="119" customFormat="false" ht="35.05" hidden="false" customHeight="false" outlineLevel="0" collapsed="false">
      <c r="A119" s="4" t="s">
        <v>7</v>
      </c>
      <c r="B119" s="4" t="s">
        <v>49</v>
      </c>
      <c r="C119" s="4" t="n">
        <v>89.67</v>
      </c>
      <c r="D119" s="8" t="s">
        <v>264</v>
      </c>
      <c r="E119" s="4" t="s">
        <v>265</v>
      </c>
      <c r="F119" s="4" t="s">
        <v>266</v>
      </c>
      <c r="G119" s="8" t="s">
        <v>268</v>
      </c>
    </row>
    <row r="120" customFormat="false" ht="35.05" hidden="false" customHeight="false" outlineLevel="0" collapsed="false">
      <c r="A120" s="4" t="s">
        <v>8</v>
      </c>
      <c r="B120" s="4" t="s">
        <v>49</v>
      </c>
      <c r="C120" s="4" t="n">
        <v>2405.6</v>
      </c>
      <c r="D120" s="8" t="s">
        <v>264</v>
      </c>
      <c r="E120" s="4" t="s">
        <v>265</v>
      </c>
      <c r="F120" s="4" t="s">
        <v>266</v>
      </c>
      <c r="G120" s="8" t="s">
        <v>268</v>
      </c>
    </row>
    <row r="121" customFormat="false" ht="35.05" hidden="false" customHeight="false" outlineLevel="0" collapsed="false">
      <c r="A121" s="4" t="s">
        <v>5</v>
      </c>
      <c r="B121" s="4" t="s">
        <v>50</v>
      </c>
      <c r="C121" s="4" t="n">
        <v>32.82</v>
      </c>
      <c r="D121" s="8" t="s">
        <v>264</v>
      </c>
      <c r="E121" s="4" t="s">
        <v>265</v>
      </c>
      <c r="F121" s="4" t="s">
        <v>266</v>
      </c>
      <c r="G121" s="8" t="s">
        <v>268</v>
      </c>
    </row>
    <row r="122" customFormat="false" ht="35.05" hidden="false" customHeight="false" outlineLevel="0" collapsed="false">
      <c r="A122" s="4" t="s">
        <v>6</v>
      </c>
      <c r="B122" s="4" t="s">
        <v>50</v>
      </c>
      <c r="C122" s="4" t="n">
        <v>0</v>
      </c>
      <c r="D122" s="8" t="s">
        <v>264</v>
      </c>
      <c r="E122" s="4" t="s">
        <v>265</v>
      </c>
      <c r="F122" s="4" t="s">
        <v>266</v>
      </c>
      <c r="G122" s="8" t="s">
        <v>268</v>
      </c>
    </row>
    <row r="123" customFormat="false" ht="35.05" hidden="false" customHeight="false" outlineLevel="0" collapsed="false">
      <c r="A123" s="4" t="s">
        <v>9</v>
      </c>
      <c r="B123" s="4" t="s">
        <v>50</v>
      </c>
      <c r="C123" s="4" t="n">
        <v>0</v>
      </c>
      <c r="D123" s="8" t="s">
        <v>264</v>
      </c>
      <c r="E123" s="4" t="s">
        <v>265</v>
      </c>
      <c r="F123" s="4" t="s">
        <v>266</v>
      </c>
      <c r="G123" s="8" t="s">
        <v>268</v>
      </c>
    </row>
    <row r="124" customFormat="false" ht="35.05" hidden="false" customHeight="false" outlineLevel="0" collapsed="false">
      <c r="A124" s="4" t="s">
        <v>7</v>
      </c>
      <c r="B124" s="4" t="s">
        <v>50</v>
      </c>
      <c r="C124" s="4" t="n">
        <v>5.25</v>
      </c>
      <c r="D124" s="8" t="s">
        <v>264</v>
      </c>
      <c r="E124" s="4" t="s">
        <v>265</v>
      </c>
      <c r="F124" s="4" t="s">
        <v>266</v>
      </c>
      <c r="G124" s="8" t="s">
        <v>268</v>
      </c>
    </row>
    <row r="125" customFormat="false" ht="35.05" hidden="false" customHeight="false" outlineLevel="0" collapsed="false">
      <c r="A125" s="4" t="s">
        <v>8</v>
      </c>
      <c r="B125" s="4" t="s">
        <v>50</v>
      </c>
      <c r="C125" s="4" t="n">
        <v>0</v>
      </c>
      <c r="D125" s="8" t="s">
        <v>264</v>
      </c>
      <c r="E125" s="4" t="s">
        <v>265</v>
      </c>
      <c r="F125" s="4" t="s">
        <v>266</v>
      </c>
      <c r="G125" s="8" t="s">
        <v>268</v>
      </c>
    </row>
    <row r="126" customFormat="false" ht="35.05" hidden="false" customHeight="false" outlineLevel="0" collapsed="false">
      <c r="A126" s="4" t="s">
        <v>5</v>
      </c>
      <c r="B126" s="4" t="s">
        <v>52</v>
      </c>
      <c r="C126" s="4" t="n">
        <v>452.26</v>
      </c>
      <c r="D126" s="8" t="s">
        <v>264</v>
      </c>
      <c r="E126" s="4" t="s">
        <v>265</v>
      </c>
      <c r="F126" s="4" t="s">
        <v>266</v>
      </c>
      <c r="G126" s="8" t="s">
        <v>268</v>
      </c>
    </row>
    <row r="127" customFormat="false" ht="35.05" hidden="false" customHeight="false" outlineLevel="0" collapsed="false">
      <c r="A127" s="4" t="s">
        <v>6</v>
      </c>
      <c r="B127" s="4" t="s">
        <v>52</v>
      </c>
      <c r="C127" s="4" t="n">
        <v>0</v>
      </c>
      <c r="D127" s="8" t="s">
        <v>264</v>
      </c>
      <c r="E127" s="4" t="s">
        <v>265</v>
      </c>
      <c r="F127" s="4" t="s">
        <v>266</v>
      </c>
      <c r="G127" s="8" t="s">
        <v>268</v>
      </c>
    </row>
    <row r="128" customFormat="false" ht="35.05" hidden="false" customHeight="false" outlineLevel="0" collapsed="false">
      <c r="A128" s="4" t="s">
        <v>9</v>
      </c>
      <c r="B128" s="4" t="s">
        <v>52</v>
      </c>
      <c r="C128" s="4" t="n">
        <v>145.22</v>
      </c>
      <c r="D128" s="8" t="s">
        <v>264</v>
      </c>
      <c r="E128" s="4" t="s">
        <v>265</v>
      </c>
      <c r="F128" s="4" t="s">
        <v>266</v>
      </c>
      <c r="G128" s="8" t="s">
        <v>268</v>
      </c>
    </row>
    <row r="129" customFormat="false" ht="35.05" hidden="false" customHeight="false" outlineLevel="0" collapsed="false">
      <c r="A129" s="4" t="s">
        <v>7</v>
      </c>
      <c r="B129" s="4" t="s">
        <v>52</v>
      </c>
      <c r="C129" s="4" t="n">
        <v>70.7</v>
      </c>
      <c r="D129" s="8" t="s">
        <v>264</v>
      </c>
      <c r="E129" s="4" t="s">
        <v>265</v>
      </c>
      <c r="F129" s="4" t="s">
        <v>266</v>
      </c>
      <c r="G129" s="8" t="s">
        <v>268</v>
      </c>
    </row>
    <row r="130" customFormat="false" ht="35.05" hidden="false" customHeight="false" outlineLevel="0" collapsed="false">
      <c r="A130" s="4" t="s">
        <v>8</v>
      </c>
      <c r="B130" s="4" t="s">
        <v>52</v>
      </c>
      <c r="C130" s="4" t="n">
        <v>0</v>
      </c>
      <c r="D130" s="8" t="s">
        <v>264</v>
      </c>
      <c r="E130" s="4" t="s">
        <v>265</v>
      </c>
      <c r="F130" s="4" t="s">
        <v>266</v>
      </c>
      <c r="G130" s="8" t="s">
        <v>268</v>
      </c>
    </row>
    <row r="131" customFormat="false" ht="35.05" hidden="false" customHeight="false" outlineLevel="0" collapsed="false">
      <c r="A131" s="4" t="s">
        <v>5</v>
      </c>
      <c r="B131" s="4" t="s">
        <v>53</v>
      </c>
      <c r="C131" s="4" t="n">
        <v>304.23</v>
      </c>
      <c r="D131" s="8" t="s">
        <v>264</v>
      </c>
      <c r="E131" s="4" t="s">
        <v>265</v>
      </c>
      <c r="F131" s="4" t="s">
        <v>266</v>
      </c>
      <c r="G131" s="8" t="s">
        <v>268</v>
      </c>
    </row>
    <row r="132" customFormat="false" ht="35.05" hidden="false" customHeight="false" outlineLevel="0" collapsed="false">
      <c r="A132" s="4" t="s">
        <v>6</v>
      </c>
      <c r="B132" s="4" t="s">
        <v>53</v>
      </c>
      <c r="C132" s="4" t="n">
        <v>0</v>
      </c>
      <c r="D132" s="8" t="s">
        <v>264</v>
      </c>
      <c r="E132" s="4" t="s">
        <v>265</v>
      </c>
      <c r="F132" s="4" t="s">
        <v>266</v>
      </c>
      <c r="G132" s="8" t="s">
        <v>268</v>
      </c>
    </row>
    <row r="133" customFormat="false" ht="35.05" hidden="false" customHeight="false" outlineLevel="0" collapsed="false">
      <c r="A133" s="4" t="s">
        <v>9</v>
      </c>
      <c r="B133" s="4" t="s">
        <v>53</v>
      </c>
      <c r="C133" s="4" t="n">
        <v>20.14</v>
      </c>
      <c r="D133" s="8" t="s">
        <v>264</v>
      </c>
      <c r="E133" s="4" t="s">
        <v>265</v>
      </c>
      <c r="F133" s="4" t="s">
        <v>266</v>
      </c>
      <c r="G133" s="8" t="s">
        <v>268</v>
      </c>
    </row>
    <row r="134" customFormat="false" ht="35.05" hidden="false" customHeight="false" outlineLevel="0" collapsed="false">
      <c r="A134" s="4" t="s">
        <v>7</v>
      </c>
      <c r="B134" s="4" t="s">
        <v>53</v>
      </c>
      <c r="C134" s="4" t="n">
        <v>4.05</v>
      </c>
      <c r="D134" s="8" t="s">
        <v>264</v>
      </c>
      <c r="E134" s="4" t="s">
        <v>265</v>
      </c>
      <c r="F134" s="4" t="s">
        <v>266</v>
      </c>
      <c r="G134" s="8" t="s">
        <v>268</v>
      </c>
    </row>
    <row r="135" customFormat="false" ht="35.05" hidden="false" customHeight="false" outlineLevel="0" collapsed="false">
      <c r="A135" s="4" t="s">
        <v>8</v>
      </c>
      <c r="B135" s="4" t="s">
        <v>53</v>
      </c>
      <c r="C135" s="4" t="n">
        <v>210</v>
      </c>
      <c r="D135" s="8" t="s">
        <v>264</v>
      </c>
      <c r="E135" s="4" t="s">
        <v>265</v>
      </c>
      <c r="F135" s="4" t="s">
        <v>266</v>
      </c>
      <c r="G135" s="8" t="s">
        <v>268</v>
      </c>
    </row>
    <row r="136" customFormat="false" ht="35.05" hidden="false" customHeight="false" outlineLevel="0" collapsed="false">
      <c r="A136" s="4" t="s">
        <v>5</v>
      </c>
      <c r="B136" s="4" t="s">
        <v>54</v>
      </c>
      <c r="C136" s="4" t="n">
        <v>1120.97</v>
      </c>
      <c r="D136" s="8" t="s">
        <v>264</v>
      </c>
      <c r="E136" s="4" t="s">
        <v>265</v>
      </c>
      <c r="F136" s="4" t="s">
        <v>266</v>
      </c>
      <c r="G136" s="8" t="s">
        <v>268</v>
      </c>
    </row>
    <row r="137" customFormat="false" ht="35.05" hidden="false" customHeight="false" outlineLevel="0" collapsed="false">
      <c r="A137" s="4" t="s">
        <v>6</v>
      </c>
      <c r="B137" s="4" t="s">
        <v>54</v>
      </c>
      <c r="C137" s="4" t="n">
        <v>0</v>
      </c>
      <c r="D137" s="8" t="s">
        <v>264</v>
      </c>
      <c r="E137" s="4" t="s">
        <v>265</v>
      </c>
      <c r="F137" s="4" t="s">
        <v>266</v>
      </c>
      <c r="G137" s="8" t="s">
        <v>268</v>
      </c>
    </row>
    <row r="138" customFormat="false" ht="35.05" hidden="false" customHeight="false" outlineLevel="0" collapsed="false">
      <c r="A138" s="4" t="s">
        <v>9</v>
      </c>
      <c r="B138" s="4" t="s">
        <v>54</v>
      </c>
      <c r="C138" s="4" t="n">
        <v>64.22</v>
      </c>
      <c r="D138" s="8" t="s">
        <v>264</v>
      </c>
      <c r="E138" s="4" t="s">
        <v>265</v>
      </c>
      <c r="F138" s="4" t="s">
        <v>266</v>
      </c>
      <c r="G138" s="8" t="s">
        <v>268</v>
      </c>
    </row>
    <row r="139" customFormat="false" ht="35.05" hidden="false" customHeight="false" outlineLevel="0" collapsed="false">
      <c r="A139" s="4" t="s">
        <v>7</v>
      </c>
      <c r="B139" s="4" t="s">
        <v>54</v>
      </c>
      <c r="C139" s="4" t="n">
        <v>140.63</v>
      </c>
      <c r="D139" s="8" t="s">
        <v>264</v>
      </c>
      <c r="E139" s="4" t="s">
        <v>265</v>
      </c>
      <c r="F139" s="4" t="s">
        <v>266</v>
      </c>
      <c r="G139" s="8" t="s">
        <v>268</v>
      </c>
    </row>
    <row r="140" customFormat="false" ht="35.05" hidden="false" customHeight="false" outlineLevel="0" collapsed="false">
      <c r="A140" s="4" t="s">
        <v>8</v>
      </c>
      <c r="B140" s="4" t="s">
        <v>54</v>
      </c>
      <c r="C140" s="4" t="n">
        <v>2154.55</v>
      </c>
      <c r="D140" s="8" t="s">
        <v>264</v>
      </c>
      <c r="E140" s="4" t="s">
        <v>265</v>
      </c>
      <c r="F140" s="4" t="s">
        <v>266</v>
      </c>
      <c r="G140" s="8" t="s">
        <v>268</v>
      </c>
    </row>
    <row r="141" customFormat="false" ht="35.05" hidden="false" customHeight="false" outlineLevel="0" collapsed="false">
      <c r="A141" s="4" t="s">
        <v>5</v>
      </c>
      <c r="B141" s="4" t="s">
        <v>55</v>
      </c>
      <c r="C141" s="4" t="n">
        <v>7.56</v>
      </c>
      <c r="D141" s="8" t="s">
        <v>264</v>
      </c>
      <c r="E141" s="4" t="s">
        <v>265</v>
      </c>
      <c r="F141" s="4" t="s">
        <v>266</v>
      </c>
      <c r="G141" s="8" t="s">
        <v>268</v>
      </c>
    </row>
    <row r="142" customFormat="false" ht="35.05" hidden="false" customHeight="false" outlineLevel="0" collapsed="false">
      <c r="A142" s="4" t="s">
        <v>6</v>
      </c>
      <c r="B142" s="4" t="s">
        <v>55</v>
      </c>
      <c r="C142" s="4" t="n">
        <v>0</v>
      </c>
      <c r="D142" s="8" t="s">
        <v>264</v>
      </c>
      <c r="E142" s="4" t="s">
        <v>265</v>
      </c>
      <c r="F142" s="4" t="s">
        <v>266</v>
      </c>
      <c r="G142" s="8" t="s">
        <v>268</v>
      </c>
    </row>
    <row r="143" customFormat="false" ht="35.05" hidden="false" customHeight="false" outlineLevel="0" collapsed="false">
      <c r="A143" s="4" t="s">
        <v>9</v>
      </c>
      <c r="B143" s="4" t="s">
        <v>55</v>
      </c>
      <c r="C143" s="4" t="n">
        <v>0</v>
      </c>
      <c r="D143" s="8" t="s">
        <v>264</v>
      </c>
      <c r="E143" s="4" t="s">
        <v>265</v>
      </c>
      <c r="F143" s="4" t="s">
        <v>266</v>
      </c>
      <c r="G143" s="8" t="s">
        <v>268</v>
      </c>
    </row>
    <row r="144" customFormat="false" ht="35.05" hidden="false" customHeight="false" outlineLevel="0" collapsed="false">
      <c r="A144" s="4" t="s">
        <v>7</v>
      </c>
      <c r="B144" s="4" t="s">
        <v>55</v>
      </c>
      <c r="C144" s="4" t="n">
        <v>55.11</v>
      </c>
      <c r="D144" s="8" t="s">
        <v>264</v>
      </c>
      <c r="E144" s="4" t="s">
        <v>265</v>
      </c>
      <c r="F144" s="4" t="s">
        <v>266</v>
      </c>
      <c r="G144" s="8" t="s">
        <v>268</v>
      </c>
    </row>
    <row r="145" customFormat="false" ht="35.05" hidden="false" customHeight="false" outlineLevel="0" collapsed="false">
      <c r="A145" s="4" t="s">
        <v>8</v>
      </c>
      <c r="B145" s="4" t="s">
        <v>55</v>
      </c>
      <c r="C145" s="4" t="n">
        <v>2282</v>
      </c>
      <c r="D145" s="8" t="s">
        <v>264</v>
      </c>
      <c r="E145" s="4" t="s">
        <v>265</v>
      </c>
      <c r="F145" s="4" t="s">
        <v>266</v>
      </c>
      <c r="G145" s="8" t="s">
        <v>268</v>
      </c>
    </row>
    <row r="146" customFormat="false" ht="35.05" hidden="false" customHeight="false" outlineLevel="0" collapsed="false">
      <c r="A146" s="4" t="s">
        <v>5</v>
      </c>
      <c r="B146" s="4" t="s">
        <v>56</v>
      </c>
      <c r="C146" s="4" t="n">
        <v>363.5</v>
      </c>
      <c r="D146" s="8" t="s">
        <v>264</v>
      </c>
      <c r="E146" s="4" t="s">
        <v>265</v>
      </c>
      <c r="F146" s="4" t="s">
        <v>266</v>
      </c>
      <c r="G146" s="8" t="s">
        <v>268</v>
      </c>
    </row>
    <row r="147" customFormat="false" ht="35.05" hidden="false" customHeight="false" outlineLevel="0" collapsed="false">
      <c r="A147" s="4" t="s">
        <v>6</v>
      </c>
      <c r="B147" s="4" t="s">
        <v>56</v>
      </c>
      <c r="C147" s="4" t="n">
        <v>0</v>
      </c>
      <c r="D147" s="8" t="s">
        <v>264</v>
      </c>
      <c r="E147" s="4" t="s">
        <v>265</v>
      </c>
      <c r="F147" s="4" t="s">
        <v>266</v>
      </c>
      <c r="G147" s="8" t="s">
        <v>268</v>
      </c>
    </row>
    <row r="148" customFormat="false" ht="35.05" hidden="false" customHeight="false" outlineLevel="0" collapsed="false">
      <c r="A148" s="4" t="s">
        <v>9</v>
      </c>
      <c r="B148" s="4" t="s">
        <v>56</v>
      </c>
      <c r="C148" s="4" t="n">
        <v>351.86</v>
      </c>
      <c r="D148" s="8" t="s">
        <v>264</v>
      </c>
      <c r="E148" s="4" t="s">
        <v>265</v>
      </c>
      <c r="F148" s="4" t="s">
        <v>266</v>
      </c>
      <c r="G148" s="8" t="s">
        <v>268</v>
      </c>
    </row>
    <row r="149" customFormat="false" ht="35.05" hidden="false" customHeight="false" outlineLevel="0" collapsed="false">
      <c r="A149" s="4" t="s">
        <v>7</v>
      </c>
      <c r="B149" s="4" t="s">
        <v>56</v>
      </c>
      <c r="C149" s="4" t="n">
        <v>98.5</v>
      </c>
      <c r="D149" s="8" t="s">
        <v>264</v>
      </c>
      <c r="E149" s="4" t="s">
        <v>265</v>
      </c>
      <c r="F149" s="4" t="s">
        <v>266</v>
      </c>
      <c r="G149" s="8" t="s">
        <v>268</v>
      </c>
    </row>
    <row r="150" customFormat="false" ht="35.05" hidden="false" customHeight="false" outlineLevel="0" collapsed="false">
      <c r="A150" s="4" t="s">
        <v>8</v>
      </c>
      <c r="B150" s="4" t="s">
        <v>56</v>
      </c>
      <c r="C150" s="4" t="n">
        <v>1341.2</v>
      </c>
      <c r="D150" s="8" t="s">
        <v>264</v>
      </c>
      <c r="E150" s="4" t="s">
        <v>265</v>
      </c>
      <c r="F150" s="4" t="s">
        <v>266</v>
      </c>
      <c r="G150" s="8" t="s">
        <v>268</v>
      </c>
    </row>
    <row r="151" customFormat="false" ht="35.05" hidden="false" customHeight="false" outlineLevel="0" collapsed="false">
      <c r="A151" s="4" t="s">
        <v>5</v>
      </c>
      <c r="B151" s="4" t="s">
        <v>57</v>
      </c>
      <c r="C151" s="4" t="n">
        <v>15.72</v>
      </c>
      <c r="D151" s="8" t="s">
        <v>264</v>
      </c>
      <c r="E151" s="4" t="s">
        <v>265</v>
      </c>
      <c r="F151" s="4" t="s">
        <v>266</v>
      </c>
      <c r="G151" s="8" t="s">
        <v>268</v>
      </c>
    </row>
    <row r="152" customFormat="false" ht="35.05" hidden="false" customHeight="false" outlineLevel="0" collapsed="false">
      <c r="A152" s="4" t="s">
        <v>6</v>
      </c>
      <c r="B152" s="4" t="s">
        <v>57</v>
      </c>
      <c r="C152" s="4" t="n">
        <v>0</v>
      </c>
      <c r="D152" s="8" t="s">
        <v>264</v>
      </c>
      <c r="E152" s="4" t="s">
        <v>265</v>
      </c>
      <c r="F152" s="4" t="s">
        <v>266</v>
      </c>
      <c r="G152" s="8" t="s">
        <v>268</v>
      </c>
    </row>
    <row r="153" customFormat="false" ht="35.05" hidden="false" customHeight="false" outlineLevel="0" collapsed="false">
      <c r="A153" s="4" t="s">
        <v>9</v>
      </c>
      <c r="B153" s="4" t="s">
        <v>57</v>
      </c>
      <c r="C153" s="4" t="n">
        <v>0</v>
      </c>
      <c r="D153" s="8" t="s">
        <v>264</v>
      </c>
      <c r="E153" s="4" t="s">
        <v>265</v>
      </c>
      <c r="F153" s="4" t="s">
        <v>266</v>
      </c>
      <c r="G153" s="8" t="s">
        <v>268</v>
      </c>
    </row>
    <row r="154" customFormat="false" ht="35.05" hidden="false" customHeight="false" outlineLevel="0" collapsed="false">
      <c r="A154" s="4" t="s">
        <v>7</v>
      </c>
      <c r="B154" s="4" t="s">
        <v>57</v>
      </c>
      <c r="C154" s="4" t="n">
        <v>140.61</v>
      </c>
      <c r="D154" s="8" t="s">
        <v>264</v>
      </c>
      <c r="E154" s="4" t="s">
        <v>265</v>
      </c>
      <c r="F154" s="4" t="s">
        <v>266</v>
      </c>
      <c r="G154" s="8" t="s">
        <v>268</v>
      </c>
    </row>
    <row r="155" customFormat="false" ht="35.05" hidden="false" customHeight="false" outlineLevel="0" collapsed="false">
      <c r="A155" s="4" t="s">
        <v>8</v>
      </c>
      <c r="B155" s="4" t="s">
        <v>57</v>
      </c>
      <c r="C155" s="4" t="n">
        <v>2115</v>
      </c>
      <c r="D155" s="8" t="s">
        <v>264</v>
      </c>
      <c r="E155" s="4" t="s">
        <v>265</v>
      </c>
      <c r="F155" s="4" t="s">
        <v>266</v>
      </c>
      <c r="G155" s="8" t="s">
        <v>268</v>
      </c>
    </row>
    <row r="156" customFormat="false" ht="35.05" hidden="false" customHeight="false" outlineLevel="0" collapsed="false">
      <c r="A156" s="4" t="s">
        <v>5</v>
      </c>
      <c r="B156" s="4" t="s">
        <v>59</v>
      </c>
      <c r="C156" s="4" t="n">
        <v>687.9</v>
      </c>
      <c r="D156" s="8" t="s">
        <v>264</v>
      </c>
      <c r="E156" s="4" t="s">
        <v>265</v>
      </c>
      <c r="F156" s="4" t="s">
        <v>266</v>
      </c>
      <c r="G156" s="8" t="s">
        <v>268</v>
      </c>
    </row>
    <row r="157" customFormat="false" ht="35.05" hidden="false" customHeight="false" outlineLevel="0" collapsed="false">
      <c r="A157" s="4" t="s">
        <v>6</v>
      </c>
      <c r="B157" s="4" t="s">
        <v>59</v>
      </c>
      <c r="C157" s="4" t="n">
        <v>0</v>
      </c>
      <c r="D157" s="8" t="s">
        <v>264</v>
      </c>
      <c r="E157" s="4" t="s">
        <v>265</v>
      </c>
      <c r="F157" s="4" t="s">
        <v>266</v>
      </c>
      <c r="G157" s="8" t="s">
        <v>268</v>
      </c>
    </row>
    <row r="158" customFormat="false" ht="35.05" hidden="false" customHeight="false" outlineLevel="0" collapsed="false">
      <c r="A158" s="4" t="s">
        <v>9</v>
      </c>
      <c r="B158" s="4" t="s">
        <v>59</v>
      </c>
      <c r="C158" s="4" t="n">
        <v>8</v>
      </c>
      <c r="D158" s="8" t="s">
        <v>264</v>
      </c>
      <c r="E158" s="4" t="s">
        <v>265</v>
      </c>
      <c r="F158" s="4" t="s">
        <v>266</v>
      </c>
      <c r="G158" s="8" t="s">
        <v>268</v>
      </c>
    </row>
    <row r="159" customFormat="false" ht="35.05" hidden="false" customHeight="false" outlineLevel="0" collapsed="false">
      <c r="A159" s="4" t="s">
        <v>7</v>
      </c>
      <c r="B159" s="4" t="s">
        <v>59</v>
      </c>
      <c r="C159" s="4" t="n">
        <v>34.11</v>
      </c>
      <c r="D159" s="8" t="s">
        <v>264</v>
      </c>
      <c r="E159" s="4" t="s">
        <v>265</v>
      </c>
      <c r="F159" s="4" t="s">
        <v>266</v>
      </c>
      <c r="G159" s="8" t="s">
        <v>268</v>
      </c>
    </row>
    <row r="160" customFormat="false" ht="35.05" hidden="false" customHeight="false" outlineLevel="0" collapsed="false">
      <c r="A160" s="4" t="s">
        <v>8</v>
      </c>
      <c r="B160" s="4" t="s">
        <v>59</v>
      </c>
      <c r="C160" s="4" t="n">
        <v>346</v>
      </c>
      <c r="D160" s="8" t="s">
        <v>264</v>
      </c>
      <c r="E160" s="4" t="s">
        <v>265</v>
      </c>
      <c r="F160" s="4" t="s">
        <v>266</v>
      </c>
      <c r="G160" s="8" t="s">
        <v>268</v>
      </c>
    </row>
    <row r="161" customFormat="false" ht="35.05" hidden="false" customHeight="false" outlineLevel="0" collapsed="false">
      <c r="A161" s="4" t="s">
        <v>5</v>
      </c>
      <c r="B161" s="4" t="s">
        <v>60</v>
      </c>
      <c r="C161" s="4" t="n">
        <v>17.56</v>
      </c>
      <c r="D161" s="8" t="s">
        <v>264</v>
      </c>
      <c r="E161" s="4" t="s">
        <v>265</v>
      </c>
      <c r="F161" s="4" t="s">
        <v>266</v>
      </c>
      <c r="G161" s="8" t="s">
        <v>268</v>
      </c>
    </row>
    <row r="162" customFormat="false" ht="35.05" hidden="false" customHeight="false" outlineLevel="0" collapsed="false">
      <c r="A162" s="4" t="s">
        <v>6</v>
      </c>
      <c r="B162" s="4" t="s">
        <v>60</v>
      </c>
      <c r="C162" s="4" t="n">
        <v>0</v>
      </c>
      <c r="D162" s="8" t="s">
        <v>264</v>
      </c>
      <c r="E162" s="4" t="s">
        <v>265</v>
      </c>
      <c r="F162" s="4" t="s">
        <v>266</v>
      </c>
      <c r="G162" s="8" t="s">
        <v>268</v>
      </c>
    </row>
    <row r="163" customFormat="false" ht="35.05" hidden="false" customHeight="false" outlineLevel="0" collapsed="false">
      <c r="A163" s="4" t="s">
        <v>9</v>
      </c>
      <c r="B163" s="4" t="s">
        <v>60</v>
      </c>
      <c r="C163" s="4" t="n">
        <v>0</v>
      </c>
      <c r="D163" s="8" t="s">
        <v>264</v>
      </c>
      <c r="E163" s="4" t="s">
        <v>265</v>
      </c>
      <c r="F163" s="4" t="s">
        <v>266</v>
      </c>
      <c r="G163" s="8" t="s">
        <v>268</v>
      </c>
    </row>
    <row r="164" customFormat="false" ht="35.05" hidden="false" customHeight="false" outlineLevel="0" collapsed="false">
      <c r="A164" s="4" t="s">
        <v>7</v>
      </c>
      <c r="B164" s="4" t="s">
        <v>60</v>
      </c>
      <c r="C164" s="4" t="n">
        <v>5.45</v>
      </c>
      <c r="D164" s="8" t="s">
        <v>264</v>
      </c>
      <c r="E164" s="4" t="s">
        <v>265</v>
      </c>
      <c r="F164" s="4" t="s">
        <v>266</v>
      </c>
      <c r="G164" s="8" t="s">
        <v>268</v>
      </c>
    </row>
    <row r="165" customFormat="false" ht="35.05" hidden="false" customHeight="false" outlineLevel="0" collapsed="false">
      <c r="A165" s="4" t="s">
        <v>8</v>
      </c>
      <c r="B165" s="4" t="s">
        <v>60</v>
      </c>
      <c r="C165" s="4" t="n">
        <v>105</v>
      </c>
      <c r="D165" s="8" t="s">
        <v>264</v>
      </c>
      <c r="E165" s="4" t="s">
        <v>265</v>
      </c>
      <c r="F165" s="4" t="s">
        <v>266</v>
      </c>
      <c r="G165" s="8" t="s">
        <v>268</v>
      </c>
    </row>
    <row r="166" customFormat="false" ht="35.05" hidden="false" customHeight="false" outlineLevel="0" collapsed="false">
      <c r="A166" s="4" t="s">
        <v>5</v>
      </c>
      <c r="B166" s="4" t="s">
        <v>61</v>
      </c>
      <c r="C166" s="4" t="n">
        <v>4.28</v>
      </c>
      <c r="D166" s="8" t="s">
        <v>264</v>
      </c>
      <c r="E166" s="4" t="s">
        <v>265</v>
      </c>
      <c r="F166" s="4" t="s">
        <v>266</v>
      </c>
      <c r="G166" s="8" t="s">
        <v>268</v>
      </c>
    </row>
    <row r="167" customFormat="false" ht="35.05" hidden="false" customHeight="false" outlineLevel="0" collapsed="false">
      <c r="A167" s="4" t="s">
        <v>6</v>
      </c>
      <c r="B167" s="4" t="s">
        <v>61</v>
      </c>
      <c r="C167" s="4" t="n">
        <v>0</v>
      </c>
      <c r="D167" s="8" t="s">
        <v>264</v>
      </c>
      <c r="E167" s="4" t="s">
        <v>265</v>
      </c>
      <c r="F167" s="4" t="s">
        <v>266</v>
      </c>
      <c r="G167" s="8" t="s">
        <v>268</v>
      </c>
    </row>
    <row r="168" customFormat="false" ht="35.05" hidden="false" customHeight="false" outlineLevel="0" collapsed="false">
      <c r="A168" s="4" t="s">
        <v>9</v>
      </c>
      <c r="B168" s="4" t="s">
        <v>61</v>
      </c>
      <c r="C168" s="4" t="n">
        <v>13.8</v>
      </c>
      <c r="D168" s="8" t="s">
        <v>264</v>
      </c>
      <c r="E168" s="4" t="s">
        <v>265</v>
      </c>
      <c r="F168" s="4" t="s">
        <v>266</v>
      </c>
      <c r="G168" s="8" t="s">
        <v>268</v>
      </c>
    </row>
    <row r="169" customFormat="false" ht="35.05" hidden="false" customHeight="false" outlineLevel="0" collapsed="false">
      <c r="A169" s="4" t="s">
        <v>7</v>
      </c>
      <c r="B169" s="4" t="s">
        <v>61</v>
      </c>
      <c r="C169" s="4" t="n">
        <v>55.03</v>
      </c>
      <c r="D169" s="8" t="s">
        <v>264</v>
      </c>
      <c r="E169" s="4" t="s">
        <v>265</v>
      </c>
      <c r="F169" s="4" t="s">
        <v>266</v>
      </c>
      <c r="G169" s="8" t="s">
        <v>268</v>
      </c>
    </row>
    <row r="170" customFormat="false" ht="35.05" hidden="false" customHeight="false" outlineLevel="0" collapsed="false">
      <c r="A170" s="4" t="s">
        <v>8</v>
      </c>
      <c r="B170" s="4" t="s">
        <v>61</v>
      </c>
      <c r="C170" s="4" t="n">
        <v>322</v>
      </c>
      <c r="D170" s="8" t="s">
        <v>264</v>
      </c>
      <c r="E170" s="4" t="s">
        <v>265</v>
      </c>
      <c r="F170" s="4" t="s">
        <v>266</v>
      </c>
      <c r="G170" s="8" t="s">
        <v>268</v>
      </c>
    </row>
    <row r="171" customFormat="false" ht="35.05" hidden="false" customHeight="false" outlineLevel="0" collapsed="false">
      <c r="A171" s="4" t="s">
        <v>5</v>
      </c>
      <c r="B171" s="4" t="s">
        <v>62</v>
      </c>
      <c r="C171" s="4" t="n">
        <v>34.4</v>
      </c>
      <c r="D171" s="8" t="s">
        <v>264</v>
      </c>
      <c r="E171" s="4" t="s">
        <v>265</v>
      </c>
      <c r="F171" s="4" t="s">
        <v>266</v>
      </c>
      <c r="G171" s="8" t="s">
        <v>268</v>
      </c>
    </row>
    <row r="172" customFormat="false" ht="35.05" hidden="false" customHeight="false" outlineLevel="0" collapsed="false">
      <c r="A172" s="4" t="s">
        <v>6</v>
      </c>
      <c r="B172" s="4" t="s">
        <v>62</v>
      </c>
      <c r="C172" s="4" t="n">
        <v>0</v>
      </c>
      <c r="D172" s="8" t="s">
        <v>264</v>
      </c>
      <c r="E172" s="4" t="s">
        <v>265</v>
      </c>
      <c r="F172" s="4" t="s">
        <v>266</v>
      </c>
      <c r="G172" s="8" t="s">
        <v>268</v>
      </c>
    </row>
    <row r="173" customFormat="false" ht="35.05" hidden="false" customHeight="false" outlineLevel="0" collapsed="false">
      <c r="A173" s="4" t="s">
        <v>9</v>
      </c>
      <c r="B173" s="4" t="s">
        <v>62</v>
      </c>
      <c r="C173" s="4" t="n">
        <v>0</v>
      </c>
      <c r="D173" s="8" t="s">
        <v>264</v>
      </c>
      <c r="E173" s="4" t="s">
        <v>265</v>
      </c>
      <c r="F173" s="4" t="s">
        <v>266</v>
      </c>
      <c r="G173" s="8" t="s">
        <v>268</v>
      </c>
    </row>
    <row r="174" customFormat="false" ht="35.05" hidden="false" customHeight="false" outlineLevel="0" collapsed="false">
      <c r="A174" s="4" t="s">
        <v>7</v>
      </c>
      <c r="B174" s="4" t="s">
        <v>62</v>
      </c>
      <c r="C174" s="4" t="n">
        <v>45.47</v>
      </c>
      <c r="D174" s="8" t="s">
        <v>264</v>
      </c>
      <c r="E174" s="4" t="s">
        <v>265</v>
      </c>
      <c r="F174" s="4" t="s">
        <v>266</v>
      </c>
      <c r="G174" s="8" t="s">
        <v>268</v>
      </c>
    </row>
    <row r="175" customFormat="false" ht="35.05" hidden="false" customHeight="false" outlineLevel="0" collapsed="false">
      <c r="A175" s="4" t="s">
        <v>8</v>
      </c>
      <c r="B175" s="4" t="s">
        <v>62</v>
      </c>
      <c r="C175" s="4" t="n">
        <v>60</v>
      </c>
      <c r="D175" s="8" t="s">
        <v>264</v>
      </c>
      <c r="E175" s="4" t="s">
        <v>265</v>
      </c>
      <c r="F175" s="4" t="s">
        <v>266</v>
      </c>
      <c r="G175" s="8" t="s">
        <v>268</v>
      </c>
    </row>
    <row r="176" customFormat="false" ht="35.05" hidden="false" customHeight="false" outlineLevel="0" collapsed="false">
      <c r="A176" s="4" t="s">
        <v>5</v>
      </c>
      <c r="B176" s="4" t="s">
        <v>63</v>
      </c>
      <c r="C176" s="4" t="n">
        <v>3.68</v>
      </c>
      <c r="D176" s="8" t="s">
        <v>264</v>
      </c>
      <c r="E176" s="4" t="s">
        <v>265</v>
      </c>
      <c r="F176" s="4" t="s">
        <v>266</v>
      </c>
      <c r="G176" s="8" t="s">
        <v>268</v>
      </c>
    </row>
    <row r="177" customFormat="false" ht="35.05" hidden="false" customHeight="false" outlineLevel="0" collapsed="false">
      <c r="A177" s="4" t="s">
        <v>6</v>
      </c>
      <c r="B177" s="4" t="s">
        <v>63</v>
      </c>
      <c r="C177" s="4" t="n">
        <v>0</v>
      </c>
      <c r="D177" s="8" t="s">
        <v>264</v>
      </c>
      <c r="E177" s="4" t="s">
        <v>265</v>
      </c>
      <c r="F177" s="4" t="s">
        <v>266</v>
      </c>
      <c r="G177" s="8" t="s">
        <v>268</v>
      </c>
    </row>
    <row r="178" customFormat="false" ht="35.05" hidden="false" customHeight="false" outlineLevel="0" collapsed="false">
      <c r="A178" s="4" t="s">
        <v>9</v>
      </c>
      <c r="B178" s="4" t="s">
        <v>63</v>
      </c>
      <c r="C178" s="4" t="n">
        <v>0</v>
      </c>
      <c r="D178" s="8" t="s">
        <v>264</v>
      </c>
      <c r="E178" s="4" t="s">
        <v>265</v>
      </c>
      <c r="F178" s="4" t="s">
        <v>266</v>
      </c>
      <c r="G178" s="8" t="s">
        <v>268</v>
      </c>
    </row>
    <row r="179" customFormat="false" ht="35.05" hidden="false" customHeight="false" outlineLevel="0" collapsed="false">
      <c r="A179" s="4" t="s">
        <v>7</v>
      </c>
      <c r="B179" s="4" t="s">
        <v>63</v>
      </c>
      <c r="C179" s="4" t="n">
        <v>35.07</v>
      </c>
      <c r="D179" s="8" t="s">
        <v>264</v>
      </c>
      <c r="E179" s="4" t="s">
        <v>265</v>
      </c>
      <c r="F179" s="4" t="s">
        <v>266</v>
      </c>
      <c r="G179" s="8" t="s">
        <v>268</v>
      </c>
    </row>
    <row r="180" customFormat="false" ht="35.05" hidden="false" customHeight="false" outlineLevel="0" collapsed="false">
      <c r="A180" s="4" t="s">
        <v>8</v>
      </c>
      <c r="B180" s="4" t="s">
        <v>63</v>
      </c>
      <c r="C180" s="4" t="n">
        <v>75</v>
      </c>
      <c r="D180" s="8" t="s">
        <v>264</v>
      </c>
      <c r="E180" s="4" t="s">
        <v>265</v>
      </c>
      <c r="F180" s="4" t="s">
        <v>266</v>
      </c>
      <c r="G180" s="8" t="s">
        <v>268</v>
      </c>
    </row>
    <row r="181" customFormat="false" ht="35.05" hidden="false" customHeight="false" outlineLevel="0" collapsed="false">
      <c r="A181" s="4" t="s">
        <v>5</v>
      </c>
      <c r="B181" s="4" t="s">
        <v>64</v>
      </c>
      <c r="C181" s="4" t="n">
        <v>42.62</v>
      </c>
      <c r="D181" s="8" t="s">
        <v>264</v>
      </c>
      <c r="E181" s="4" t="s">
        <v>265</v>
      </c>
      <c r="F181" s="4" t="s">
        <v>266</v>
      </c>
      <c r="G181" s="8" t="s">
        <v>268</v>
      </c>
    </row>
    <row r="182" customFormat="false" ht="35.05" hidden="false" customHeight="false" outlineLevel="0" collapsed="false">
      <c r="A182" s="4" t="s">
        <v>6</v>
      </c>
      <c r="B182" s="4" t="s">
        <v>64</v>
      </c>
      <c r="C182" s="4" t="n">
        <v>0</v>
      </c>
      <c r="D182" s="8" t="s">
        <v>264</v>
      </c>
      <c r="E182" s="4" t="s">
        <v>265</v>
      </c>
      <c r="F182" s="4" t="s">
        <v>266</v>
      </c>
      <c r="G182" s="8" t="s">
        <v>268</v>
      </c>
    </row>
    <row r="183" customFormat="false" ht="35.05" hidden="false" customHeight="false" outlineLevel="0" collapsed="false">
      <c r="A183" s="4" t="s">
        <v>9</v>
      </c>
      <c r="B183" s="4" t="s">
        <v>64</v>
      </c>
      <c r="C183" s="4" t="n">
        <v>0</v>
      </c>
      <c r="D183" s="8" t="s">
        <v>264</v>
      </c>
      <c r="E183" s="4" t="s">
        <v>265</v>
      </c>
      <c r="F183" s="4" t="s">
        <v>266</v>
      </c>
      <c r="G183" s="8" t="s">
        <v>268</v>
      </c>
    </row>
    <row r="184" customFormat="false" ht="35.05" hidden="false" customHeight="false" outlineLevel="0" collapsed="false">
      <c r="A184" s="4" t="s">
        <v>7</v>
      </c>
      <c r="B184" s="4" t="s">
        <v>64</v>
      </c>
      <c r="C184" s="4" t="n">
        <v>16.01</v>
      </c>
      <c r="D184" s="8" t="s">
        <v>264</v>
      </c>
      <c r="E184" s="4" t="s">
        <v>265</v>
      </c>
      <c r="F184" s="4" t="s">
        <v>266</v>
      </c>
      <c r="G184" s="8" t="s">
        <v>268</v>
      </c>
    </row>
    <row r="185" customFormat="false" ht="35.05" hidden="false" customHeight="false" outlineLevel="0" collapsed="false">
      <c r="A185" s="4" t="s">
        <v>8</v>
      </c>
      <c r="B185" s="4" t="s">
        <v>64</v>
      </c>
      <c r="C185" s="4" t="n">
        <v>0</v>
      </c>
      <c r="D185" s="8" t="s">
        <v>264</v>
      </c>
      <c r="E185" s="4" t="s">
        <v>265</v>
      </c>
      <c r="F185" s="4" t="s">
        <v>266</v>
      </c>
      <c r="G185" s="8" t="s">
        <v>268</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0"/>
    <col collapsed="false" customWidth="true" hidden="false" outlineLevel="0" max="2" min="2" style="0" width="14"/>
    <col collapsed="false" customWidth="true" hidden="false" outlineLevel="0" max="3" min="3" style="0" width="45"/>
  </cols>
  <sheetData>
    <row r="1" customFormat="false" ht="21.75" hidden="false" customHeight="true" outlineLevel="0" collapsed="false">
      <c r="A1" s="1" t="s">
        <v>269</v>
      </c>
      <c r="B1" s="1"/>
      <c r="C1" s="1"/>
    </row>
    <row r="2" customFormat="false" ht="15" hidden="false" customHeight="false" outlineLevel="0" collapsed="false">
      <c r="A2" s="2" t="s">
        <v>270</v>
      </c>
      <c r="B2" s="2"/>
      <c r="C2" s="2"/>
    </row>
    <row r="4" customFormat="false" ht="25.5" hidden="false" customHeight="true" outlineLevel="0" collapsed="false">
      <c r="A4" s="3" t="s">
        <v>271</v>
      </c>
      <c r="B4" s="3" t="s">
        <v>272</v>
      </c>
      <c r="C4" s="3" t="s">
        <v>273</v>
      </c>
    </row>
    <row r="5" customFormat="false" ht="23.85" hidden="false" customHeight="false" outlineLevel="0" collapsed="false">
      <c r="A5" s="8" t="s">
        <v>274</v>
      </c>
      <c r="B5" s="4" t="s">
        <v>275</v>
      </c>
      <c r="C5" s="8" t="s">
        <v>276</v>
      </c>
    </row>
    <row r="6" customFormat="false" ht="23.85" hidden="false" customHeight="false" outlineLevel="0" collapsed="false">
      <c r="A6" s="8" t="s">
        <v>277</v>
      </c>
      <c r="B6" s="4" t="s">
        <v>278</v>
      </c>
      <c r="C6" s="8" t="s">
        <v>279</v>
      </c>
    </row>
    <row r="7" customFormat="false" ht="15" hidden="false" customHeight="false" outlineLevel="0" collapsed="false">
      <c r="A7" s="8" t="s">
        <v>280</v>
      </c>
      <c r="B7" s="4" t="s">
        <v>281</v>
      </c>
      <c r="C7" s="8" t="s">
        <v>282</v>
      </c>
    </row>
    <row r="8" customFormat="false" ht="23.85" hidden="false" customHeight="false" outlineLevel="0" collapsed="false">
      <c r="A8" s="8" t="s">
        <v>283</v>
      </c>
      <c r="B8" s="4" t="s">
        <v>284</v>
      </c>
      <c r="C8" s="8" t="s">
        <v>285</v>
      </c>
    </row>
    <row r="9" customFormat="false" ht="23.85" hidden="false" customHeight="false" outlineLevel="0" collapsed="false">
      <c r="A9" s="8" t="s">
        <v>286</v>
      </c>
      <c r="B9" s="4" t="s">
        <v>287</v>
      </c>
      <c r="C9" s="8" t="s">
        <v>288</v>
      </c>
    </row>
    <row r="10" customFormat="false" ht="23.85" hidden="false" customHeight="false" outlineLevel="0" collapsed="false">
      <c r="A10" s="8" t="s">
        <v>289</v>
      </c>
      <c r="B10" s="4" t="s">
        <v>290</v>
      </c>
      <c r="C10" s="8" t="s">
        <v>291</v>
      </c>
    </row>
    <row r="11" customFormat="false" ht="23.85" hidden="false" customHeight="false" outlineLevel="0" collapsed="false">
      <c r="A11" s="8" t="s">
        <v>292</v>
      </c>
      <c r="B11" s="4" t="s">
        <v>293</v>
      </c>
      <c r="C11" s="8" t="s">
        <v>294</v>
      </c>
    </row>
    <row r="12" customFormat="false" ht="15" hidden="false" customHeight="false" outlineLevel="0" collapsed="false">
      <c r="A12" s="8" t="s">
        <v>295</v>
      </c>
      <c r="B12" s="4" t="s">
        <v>296</v>
      </c>
      <c r="C12" s="8" t="s">
        <v>297</v>
      </c>
    </row>
    <row r="13" customFormat="false" ht="23.85" hidden="false" customHeight="false" outlineLevel="0" collapsed="false">
      <c r="A13" s="8" t="s">
        <v>298</v>
      </c>
      <c r="B13" s="4" t="s">
        <v>299</v>
      </c>
      <c r="C13" s="8" t="s">
        <v>300</v>
      </c>
    </row>
    <row r="14" customFormat="false" ht="23.85" hidden="false" customHeight="false" outlineLevel="0" collapsed="false">
      <c r="A14" s="8" t="s">
        <v>301</v>
      </c>
      <c r="B14" s="4" t="s">
        <v>302</v>
      </c>
      <c r="C14" s="8" t="s">
        <v>303</v>
      </c>
    </row>
    <row r="15" customFormat="false" ht="15" hidden="false" customHeight="false" outlineLevel="0" collapsed="false">
      <c r="A15" s="8" t="s">
        <v>304</v>
      </c>
      <c r="B15" s="4" t="s">
        <v>305</v>
      </c>
      <c r="C15" s="8" t="s">
        <v>306</v>
      </c>
    </row>
    <row r="16" customFormat="false" ht="23.85" hidden="false" customHeight="false" outlineLevel="0" collapsed="false">
      <c r="A16" s="8" t="s">
        <v>307</v>
      </c>
      <c r="B16" s="4" t="s">
        <v>308</v>
      </c>
      <c r="C16" s="8" t="s">
        <v>309</v>
      </c>
    </row>
    <row r="17" customFormat="false" ht="23.85" hidden="false" customHeight="false" outlineLevel="0" collapsed="false">
      <c r="A17" s="8" t="s">
        <v>310</v>
      </c>
      <c r="B17" s="4" t="s">
        <v>311</v>
      </c>
      <c r="C17" s="8" t="s">
        <v>309</v>
      </c>
    </row>
    <row r="18" customFormat="false" ht="23.85" hidden="false" customHeight="false" outlineLevel="0" collapsed="false">
      <c r="A18" s="8" t="s">
        <v>312</v>
      </c>
      <c r="B18" s="4" t="s">
        <v>313</v>
      </c>
      <c r="C18" s="8" t="s">
        <v>309</v>
      </c>
    </row>
    <row r="19" customFormat="false" ht="23.85" hidden="false" customHeight="false" outlineLevel="0" collapsed="false">
      <c r="A19" s="8" t="s">
        <v>314</v>
      </c>
      <c r="B19" s="4" t="s">
        <v>315</v>
      </c>
      <c r="C19" s="8" t="s">
        <v>316</v>
      </c>
    </row>
    <row r="20" customFormat="false" ht="23.85" hidden="false" customHeight="false" outlineLevel="0" collapsed="false">
      <c r="A20" s="8" t="s">
        <v>317</v>
      </c>
      <c r="B20" s="4" t="s">
        <v>318</v>
      </c>
      <c r="C20" s="8" t="s">
        <v>319</v>
      </c>
    </row>
    <row r="21" customFormat="false" ht="23.85" hidden="false" customHeight="false" outlineLevel="0" collapsed="false">
      <c r="A21" s="8" t="s">
        <v>320</v>
      </c>
      <c r="B21" s="4" t="s">
        <v>321</v>
      </c>
      <c r="C21" s="8" t="s">
        <v>300</v>
      </c>
    </row>
    <row r="22" customFormat="false" ht="23.85" hidden="false" customHeight="false" outlineLevel="0" collapsed="false">
      <c r="A22" s="8" t="s">
        <v>322</v>
      </c>
      <c r="B22" s="4" t="s">
        <v>323</v>
      </c>
      <c r="C22" s="8" t="s">
        <v>324</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70"/>
    <col collapsed="false" customWidth="true" hidden="false" outlineLevel="0" max="3" min="3" style="0" width="16"/>
    <col collapsed="false" customWidth="true" hidden="false" outlineLevel="0" max="5" min="4" style="0" width="45"/>
  </cols>
  <sheetData>
    <row r="1" customFormat="false" ht="21.75" hidden="false" customHeight="true" outlineLevel="0" collapsed="false">
      <c r="A1" s="1" t="s">
        <v>325</v>
      </c>
      <c r="B1" s="1"/>
      <c r="C1" s="1"/>
      <c r="D1" s="1"/>
      <c r="E1" s="1"/>
    </row>
    <row r="2" customFormat="false" ht="15" hidden="false" customHeight="false" outlineLevel="0" collapsed="false">
      <c r="A2" s="2" t="s">
        <v>326</v>
      </c>
      <c r="B2" s="2"/>
      <c r="C2" s="2"/>
      <c r="D2" s="2"/>
      <c r="E2" s="2"/>
    </row>
    <row r="4" customFormat="false" ht="25.5" hidden="false" customHeight="true" outlineLevel="0" collapsed="false">
      <c r="A4" s="3" t="s">
        <v>2</v>
      </c>
      <c r="B4" s="3" t="s">
        <v>327</v>
      </c>
      <c r="C4" s="3" t="s">
        <v>328</v>
      </c>
      <c r="D4" s="3" t="s">
        <v>329</v>
      </c>
      <c r="E4" s="3" t="s">
        <v>330</v>
      </c>
    </row>
    <row r="5" customFormat="false" ht="23.85" hidden="false" customHeight="false" outlineLevel="0" collapsed="false">
      <c r="A5" s="4" t="s">
        <v>42</v>
      </c>
      <c r="B5" s="8" t="s">
        <v>331</v>
      </c>
      <c r="C5" s="4" t="s">
        <v>332</v>
      </c>
      <c r="D5" s="4" t="s">
        <v>333</v>
      </c>
      <c r="E5" s="8" t="s">
        <v>334</v>
      </c>
    </row>
    <row r="6" customFormat="false" ht="23.85" hidden="false" customHeight="false" outlineLevel="0" collapsed="false">
      <c r="A6" s="4" t="s">
        <v>57</v>
      </c>
      <c r="B6" s="8" t="s">
        <v>335</v>
      </c>
      <c r="C6" s="4" t="s">
        <v>336</v>
      </c>
      <c r="D6" s="4" t="s">
        <v>337</v>
      </c>
      <c r="E6" s="8" t="s">
        <v>338</v>
      </c>
    </row>
    <row r="7" customFormat="false" ht="23.85" hidden="false" customHeight="false" outlineLevel="0" collapsed="false">
      <c r="A7" s="4" t="s">
        <v>59</v>
      </c>
      <c r="B7" s="8" t="s">
        <v>339</v>
      </c>
      <c r="C7" s="4" t="s">
        <v>340</v>
      </c>
      <c r="D7" s="4" t="s">
        <v>341</v>
      </c>
      <c r="E7" s="8" t="s">
        <v>342</v>
      </c>
    </row>
    <row r="8" customFormat="false" ht="23.85" hidden="false" customHeight="false" outlineLevel="0" collapsed="false">
      <c r="A8" s="4" t="s">
        <v>52</v>
      </c>
      <c r="B8" s="8" t="s">
        <v>343</v>
      </c>
      <c r="C8" s="4" t="s">
        <v>344</v>
      </c>
      <c r="D8" s="4" t="s">
        <v>345</v>
      </c>
      <c r="E8" s="8" t="s">
        <v>346</v>
      </c>
    </row>
    <row r="9" customFormat="false" ht="23.85" hidden="false" customHeight="false" outlineLevel="0" collapsed="false">
      <c r="A9" s="4" t="s">
        <v>35</v>
      </c>
      <c r="B9" s="8" t="s">
        <v>347</v>
      </c>
      <c r="C9" s="4" t="s">
        <v>348</v>
      </c>
      <c r="D9" s="4" t="s">
        <v>349</v>
      </c>
      <c r="E9" s="8" t="s">
        <v>350</v>
      </c>
    </row>
    <row r="10" customFormat="false" ht="23.85" hidden="false" customHeight="false" outlineLevel="0" collapsed="false">
      <c r="A10" s="4" t="s">
        <v>38</v>
      </c>
      <c r="B10" s="8" t="s">
        <v>351</v>
      </c>
      <c r="C10" s="4" t="s">
        <v>352</v>
      </c>
      <c r="D10" s="4" t="s">
        <v>353</v>
      </c>
      <c r="E10" s="8" t="s">
        <v>354</v>
      </c>
    </row>
    <row r="11" customFormat="false" ht="23.85" hidden="false" customHeight="false" outlineLevel="0" collapsed="false">
      <c r="A11" s="4" t="s">
        <v>27</v>
      </c>
      <c r="B11" s="8" t="s">
        <v>355</v>
      </c>
      <c r="C11" s="4" t="s">
        <v>356</v>
      </c>
      <c r="D11" s="4" t="s">
        <v>357</v>
      </c>
      <c r="E11" s="8" t="s">
        <v>358</v>
      </c>
    </row>
    <row r="12" customFormat="false" ht="23.85" hidden="false" customHeight="false" outlineLevel="0" collapsed="false">
      <c r="A12" s="4" t="s">
        <v>28</v>
      </c>
      <c r="B12" s="8" t="s">
        <v>359</v>
      </c>
      <c r="C12" s="4" t="s">
        <v>360</v>
      </c>
      <c r="D12" s="4" t="s">
        <v>361</v>
      </c>
      <c r="E12" s="8" t="s">
        <v>362</v>
      </c>
    </row>
    <row r="13" customFormat="false" ht="23.85" hidden="false" customHeight="false" outlineLevel="0" collapsed="false">
      <c r="A13" s="4" t="s">
        <v>53</v>
      </c>
      <c r="B13" s="8" t="s">
        <v>363</v>
      </c>
      <c r="C13" s="4" t="s">
        <v>364</v>
      </c>
      <c r="D13" s="4" t="s">
        <v>365</v>
      </c>
      <c r="E13" s="8" t="s">
        <v>366</v>
      </c>
    </row>
    <row r="14" customFormat="false" ht="23.85" hidden="false" customHeight="false" outlineLevel="0" collapsed="false">
      <c r="A14" s="4" t="s">
        <v>44</v>
      </c>
      <c r="B14" s="8" t="s">
        <v>367</v>
      </c>
      <c r="C14" s="4" t="s">
        <v>368</v>
      </c>
      <c r="D14" s="4" t="s">
        <v>369</v>
      </c>
      <c r="E14" s="8" t="s">
        <v>370</v>
      </c>
    </row>
    <row r="15" customFormat="false" ht="23.85" hidden="false" customHeight="false" outlineLevel="0" collapsed="false">
      <c r="A15" s="4" t="s">
        <v>45</v>
      </c>
      <c r="B15" s="8" t="s">
        <v>371</v>
      </c>
      <c r="C15" s="4" t="s">
        <v>372</v>
      </c>
      <c r="D15" s="4" t="s">
        <v>373</v>
      </c>
      <c r="E15" s="8" t="s">
        <v>374</v>
      </c>
    </row>
    <row r="16" customFormat="false" ht="23.85" hidden="false" customHeight="false" outlineLevel="0" collapsed="false">
      <c r="A16" s="4" t="s">
        <v>40</v>
      </c>
      <c r="B16" s="8" t="s">
        <v>375</v>
      </c>
      <c r="C16" s="4" t="s">
        <v>376</v>
      </c>
      <c r="D16" s="4" t="s">
        <v>377</v>
      </c>
      <c r="E16" s="8" t="s">
        <v>378</v>
      </c>
    </row>
    <row r="17" customFormat="false" ht="23.85" hidden="false" customHeight="false" outlineLevel="0" collapsed="false">
      <c r="A17" s="4" t="s">
        <v>41</v>
      </c>
      <c r="B17" s="8" t="s">
        <v>379</v>
      </c>
      <c r="C17" s="4" t="s">
        <v>380</v>
      </c>
      <c r="D17" s="4" t="s">
        <v>381</v>
      </c>
      <c r="E17" s="8" t="s">
        <v>382</v>
      </c>
    </row>
    <row r="18" customFormat="false" ht="23.85" hidden="false" customHeight="false" outlineLevel="0" collapsed="false">
      <c r="A18" s="4" t="s">
        <v>61</v>
      </c>
      <c r="B18" s="8" t="s">
        <v>383</v>
      </c>
      <c r="C18" s="4" t="s">
        <v>384</v>
      </c>
      <c r="D18" s="4" t="s">
        <v>385</v>
      </c>
      <c r="E18" s="8" t="s">
        <v>386</v>
      </c>
    </row>
    <row r="19" customFormat="false" ht="23.85" hidden="false" customHeight="false" outlineLevel="0" collapsed="false">
      <c r="A19" s="4" t="s">
        <v>62</v>
      </c>
      <c r="B19" s="8" t="s">
        <v>387</v>
      </c>
      <c r="C19" s="4" t="s">
        <v>388</v>
      </c>
      <c r="D19" s="4" t="s">
        <v>389</v>
      </c>
      <c r="E19" s="8" t="s">
        <v>390</v>
      </c>
    </row>
    <row r="20" customFormat="false" ht="23.85" hidden="false" customHeight="false" outlineLevel="0" collapsed="false">
      <c r="A20" s="4" t="s">
        <v>54</v>
      </c>
      <c r="B20" s="8" t="s">
        <v>391</v>
      </c>
      <c r="C20" s="4" t="s">
        <v>392</v>
      </c>
      <c r="D20" s="4" t="s">
        <v>393</v>
      </c>
      <c r="E20" s="8" t="s">
        <v>394</v>
      </c>
    </row>
    <row r="21" customFormat="false" ht="23.85" hidden="false" customHeight="false" outlineLevel="0" collapsed="false">
      <c r="A21" s="4" t="s">
        <v>31</v>
      </c>
      <c r="B21" s="8" t="s">
        <v>395</v>
      </c>
      <c r="C21" s="4" t="s">
        <v>396</v>
      </c>
      <c r="D21" s="4" t="s">
        <v>397</v>
      </c>
      <c r="E21" s="8" t="s">
        <v>398</v>
      </c>
    </row>
    <row r="22" customFormat="false" ht="23.85" hidden="false" customHeight="false" outlineLevel="0" collapsed="false">
      <c r="A22" s="4" t="s">
        <v>32</v>
      </c>
      <c r="B22" s="8" t="s">
        <v>399</v>
      </c>
      <c r="C22" s="4" t="s">
        <v>392</v>
      </c>
      <c r="D22" s="4" t="s">
        <v>400</v>
      </c>
      <c r="E22" s="8" t="s">
        <v>401</v>
      </c>
    </row>
    <row r="23" customFormat="false" ht="23.85" hidden="false" customHeight="false" outlineLevel="0" collapsed="false">
      <c r="A23" s="4" t="s">
        <v>55</v>
      </c>
      <c r="B23" s="8" t="s">
        <v>402</v>
      </c>
      <c r="C23" s="4" t="s">
        <v>403</v>
      </c>
      <c r="D23" s="4" t="s">
        <v>404</v>
      </c>
      <c r="E23" s="8" t="s">
        <v>405</v>
      </c>
    </row>
    <row r="24" customFormat="false" ht="23.85" hidden="false" customHeight="false" outlineLevel="0" collapsed="false">
      <c r="A24" s="4" t="s">
        <v>48</v>
      </c>
      <c r="B24" s="8" t="s">
        <v>406</v>
      </c>
      <c r="C24" s="4" t="s">
        <v>407</v>
      </c>
      <c r="D24" s="4" t="s">
        <v>408</v>
      </c>
      <c r="E24" s="8" t="s">
        <v>409</v>
      </c>
    </row>
    <row r="25" customFormat="false" ht="23.85" hidden="false" customHeight="false" outlineLevel="0" collapsed="false">
      <c r="A25" s="4" t="s">
        <v>49</v>
      </c>
      <c r="B25" s="8" t="s">
        <v>410</v>
      </c>
      <c r="C25" s="4" t="s">
        <v>411</v>
      </c>
      <c r="D25" s="4" t="s">
        <v>412</v>
      </c>
      <c r="E25" s="8" t="s">
        <v>413</v>
      </c>
    </row>
    <row r="26" customFormat="false" ht="23.85" hidden="false" customHeight="false" outlineLevel="0" collapsed="false">
      <c r="A26" s="4" t="s">
        <v>64</v>
      </c>
      <c r="B26" s="8" t="s">
        <v>414</v>
      </c>
      <c r="C26" s="4" t="s">
        <v>415</v>
      </c>
      <c r="D26" s="4" t="s">
        <v>416</v>
      </c>
      <c r="E26" s="8" t="s">
        <v>417</v>
      </c>
    </row>
    <row r="27" customFormat="false" ht="23.85" hidden="false" customHeight="false" outlineLevel="0" collapsed="false">
      <c r="A27" s="4" t="s">
        <v>33</v>
      </c>
      <c r="B27" s="8" t="s">
        <v>418</v>
      </c>
      <c r="C27" s="4" t="s">
        <v>419</v>
      </c>
      <c r="D27" s="4" t="s">
        <v>420</v>
      </c>
      <c r="E27" s="8" t="s">
        <v>421</v>
      </c>
    </row>
    <row r="28" customFormat="false" ht="23.85" hidden="false" customHeight="false" outlineLevel="0" collapsed="false">
      <c r="A28" s="4" t="s">
        <v>34</v>
      </c>
      <c r="B28" s="8" t="s">
        <v>422</v>
      </c>
      <c r="C28" s="4" t="s">
        <v>423</v>
      </c>
      <c r="D28" s="4" t="s">
        <v>424</v>
      </c>
      <c r="E28" s="8" t="s">
        <v>354</v>
      </c>
    </row>
    <row r="29" customFormat="false" ht="23.85" hidden="false" customHeight="false" outlineLevel="0" collapsed="false">
      <c r="A29" s="4" t="s">
        <v>191</v>
      </c>
      <c r="B29" s="8" t="s">
        <v>351</v>
      </c>
      <c r="C29" s="4" t="s">
        <v>352</v>
      </c>
      <c r="D29" s="4" t="s">
        <v>353</v>
      </c>
      <c r="E29" s="8" t="s">
        <v>354</v>
      </c>
    </row>
    <row r="30" customFormat="false" ht="23.85" hidden="false" customHeight="false" outlineLevel="0" collapsed="false">
      <c r="A30" s="4" t="s">
        <v>194</v>
      </c>
      <c r="B30" s="8" t="s">
        <v>425</v>
      </c>
      <c r="C30" s="4" t="s">
        <v>426</v>
      </c>
      <c r="D30" s="4" t="s">
        <v>427</v>
      </c>
      <c r="E30" s="8" t="s">
        <v>428</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3" topLeftCell="A2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0"/>
    <col collapsed="false" customWidth="true" hidden="false" outlineLevel="0" max="3" min="3" style="0" width="16"/>
    <col collapsed="false" customWidth="true" hidden="false" outlineLevel="0" max="5" min="4" style="0" width="14"/>
    <col collapsed="false" customWidth="true" hidden="false" outlineLevel="0" max="6" min="6" style="0" width="55"/>
    <col collapsed="false" customWidth="true" hidden="false" outlineLevel="0" max="11" min="7" style="0" width="10"/>
  </cols>
  <sheetData>
    <row r="1" customFormat="false" ht="21.75" hidden="false" customHeight="true" outlineLevel="0" collapsed="false">
      <c r="A1" s="1" t="s">
        <v>429</v>
      </c>
      <c r="B1" s="1"/>
      <c r="C1" s="1"/>
      <c r="D1" s="1"/>
      <c r="E1" s="1"/>
      <c r="F1" s="1"/>
      <c r="G1" s="1"/>
      <c r="H1" s="1"/>
      <c r="I1" s="1"/>
      <c r="J1" s="1"/>
      <c r="K1" s="1"/>
    </row>
    <row r="2" customFormat="false" ht="15" hidden="false" customHeight="false" outlineLevel="0" collapsed="false">
      <c r="A2" s="2" t="s">
        <v>430</v>
      </c>
      <c r="B2" s="2"/>
      <c r="C2" s="2"/>
      <c r="D2" s="2"/>
      <c r="E2" s="2"/>
      <c r="F2" s="2"/>
      <c r="G2" s="2"/>
      <c r="H2" s="2"/>
      <c r="I2" s="2"/>
      <c r="J2" s="2"/>
      <c r="K2" s="2"/>
    </row>
    <row r="4" customFormat="false" ht="25.5" hidden="false" customHeight="true" outlineLevel="0" collapsed="false">
      <c r="A4" s="3" t="s">
        <v>431</v>
      </c>
      <c r="B4" s="3" t="s">
        <v>205</v>
      </c>
      <c r="C4" s="3" t="s">
        <v>432</v>
      </c>
      <c r="D4" s="3" t="s">
        <v>433</v>
      </c>
      <c r="E4" s="3" t="s">
        <v>434</v>
      </c>
      <c r="F4" s="3" t="s">
        <v>69</v>
      </c>
      <c r="G4" s="3"/>
      <c r="H4" s="3"/>
      <c r="I4" s="3"/>
      <c r="J4" s="3"/>
      <c r="K4" s="3"/>
    </row>
    <row r="5" customFormat="false" ht="23.85" hidden="false" customHeight="false" outlineLevel="0" collapsed="false">
      <c r="A5" s="4" t="s">
        <v>435</v>
      </c>
      <c r="B5" s="4" t="s">
        <v>436</v>
      </c>
      <c r="C5" s="9" t="n">
        <v>17</v>
      </c>
      <c r="D5" s="5" t="n">
        <v>2151.03</v>
      </c>
      <c r="E5" s="5" t="n">
        <v>5889.44</v>
      </c>
      <c r="F5" s="8" t="s">
        <v>437</v>
      </c>
      <c r="G5" s="4"/>
      <c r="H5" s="4"/>
      <c r="I5" s="4"/>
      <c r="J5" s="4"/>
      <c r="K5" s="4"/>
    </row>
    <row r="6" customFormat="false" ht="23.85" hidden="false" customHeight="false" outlineLevel="0" collapsed="false">
      <c r="A6" s="4" t="s">
        <v>435</v>
      </c>
      <c r="B6" s="4" t="s">
        <v>438</v>
      </c>
      <c r="C6" s="9" t="n">
        <v>41</v>
      </c>
      <c r="D6" s="5" t="n">
        <v>15143.94</v>
      </c>
      <c r="E6" s="5" t="n">
        <v>41309.32</v>
      </c>
      <c r="F6" s="8" t="s">
        <v>437</v>
      </c>
      <c r="G6" s="4"/>
      <c r="H6" s="4"/>
      <c r="I6" s="4"/>
      <c r="J6" s="4"/>
      <c r="K6" s="4"/>
    </row>
    <row r="7" customFormat="false" ht="23.85" hidden="false" customHeight="false" outlineLevel="0" collapsed="false">
      <c r="A7" s="4" t="s">
        <v>435</v>
      </c>
      <c r="B7" s="4" t="s">
        <v>439</v>
      </c>
      <c r="C7" s="9" t="n">
        <v>31</v>
      </c>
      <c r="D7" s="5" t="n">
        <v>12817.8</v>
      </c>
      <c r="E7" s="5" t="n">
        <v>40566.2</v>
      </c>
      <c r="F7" s="8" t="s">
        <v>437</v>
      </c>
      <c r="G7" s="4"/>
      <c r="H7" s="4"/>
      <c r="I7" s="4"/>
      <c r="J7" s="4"/>
      <c r="K7" s="4"/>
    </row>
    <row r="8" customFormat="false" ht="23.85" hidden="false" customHeight="false" outlineLevel="0" collapsed="false">
      <c r="A8" s="4" t="s">
        <v>435</v>
      </c>
      <c r="B8" s="4" t="s">
        <v>440</v>
      </c>
      <c r="C8" s="9" t="n">
        <v>58</v>
      </c>
      <c r="D8" s="5" t="n">
        <v>9193.38</v>
      </c>
      <c r="E8" s="5" t="n">
        <v>32902.82</v>
      </c>
      <c r="F8" s="8" t="s">
        <v>437</v>
      </c>
      <c r="G8" s="4"/>
      <c r="H8" s="4"/>
      <c r="I8" s="4"/>
      <c r="J8" s="4"/>
      <c r="K8" s="4"/>
    </row>
    <row r="9" customFormat="false" ht="23.85" hidden="false" customHeight="false" outlineLevel="0" collapsed="false">
      <c r="A9" s="10" t="s">
        <v>435</v>
      </c>
      <c r="B9" s="4" t="s">
        <v>441</v>
      </c>
      <c r="C9" s="9" t="n">
        <v>147</v>
      </c>
      <c r="D9" s="5" t="n">
        <v>39306.15</v>
      </c>
      <c r="E9" s="5" t="n">
        <v>120667.78</v>
      </c>
      <c r="F9" s="8" t="s">
        <v>437</v>
      </c>
      <c r="G9" s="4"/>
      <c r="H9" s="4"/>
      <c r="I9" s="4"/>
      <c r="J9" s="4"/>
      <c r="K9" s="4"/>
    </row>
    <row r="10" customFormat="false" ht="23.85" hidden="false" customHeight="false" outlineLevel="0" collapsed="false">
      <c r="A10" s="4" t="s">
        <v>442</v>
      </c>
      <c r="B10" s="4" t="s">
        <v>436</v>
      </c>
      <c r="C10" s="9" t="n">
        <v>18</v>
      </c>
      <c r="D10" s="5" t="n">
        <v>2721.03</v>
      </c>
      <c r="E10" s="5" t="n">
        <v>7499.44</v>
      </c>
      <c r="F10" s="8" t="s">
        <v>437</v>
      </c>
      <c r="G10" s="4"/>
      <c r="H10" s="4"/>
      <c r="I10" s="4"/>
      <c r="J10" s="4"/>
      <c r="K10" s="4"/>
    </row>
    <row r="11" customFormat="false" ht="23.85" hidden="false" customHeight="false" outlineLevel="0" collapsed="false">
      <c r="A11" s="4" t="s">
        <v>442</v>
      </c>
      <c r="B11" s="4" t="s">
        <v>438</v>
      </c>
      <c r="C11" s="9" t="n">
        <v>42</v>
      </c>
      <c r="D11" s="5" t="n">
        <v>15258.94</v>
      </c>
      <c r="E11" s="5" t="n">
        <v>41539.32</v>
      </c>
      <c r="F11" s="8" t="s">
        <v>437</v>
      </c>
      <c r="G11" s="4"/>
      <c r="H11" s="4"/>
      <c r="I11" s="4"/>
      <c r="J11" s="4"/>
      <c r="K11" s="4"/>
    </row>
    <row r="12" customFormat="false" ht="23.85" hidden="false" customHeight="false" outlineLevel="0" collapsed="false">
      <c r="A12" s="4" t="s">
        <v>442</v>
      </c>
      <c r="B12" s="4" t="s">
        <v>439</v>
      </c>
      <c r="C12" s="9" t="n">
        <v>34</v>
      </c>
      <c r="D12" s="5" t="n">
        <v>12242.8</v>
      </c>
      <c r="E12" s="5" t="n">
        <v>39416.2</v>
      </c>
      <c r="F12" s="8" t="s">
        <v>437</v>
      </c>
      <c r="G12" s="4"/>
      <c r="H12" s="4"/>
      <c r="I12" s="4"/>
      <c r="J12" s="4"/>
      <c r="K12" s="4"/>
    </row>
    <row r="13" customFormat="false" ht="23.85" hidden="false" customHeight="false" outlineLevel="0" collapsed="false">
      <c r="A13" s="4" t="s">
        <v>442</v>
      </c>
      <c r="B13" s="4" t="s">
        <v>440</v>
      </c>
      <c r="C13" s="9" t="n">
        <v>63</v>
      </c>
      <c r="D13" s="5" t="n">
        <v>14195.88</v>
      </c>
      <c r="E13" s="5" t="n">
        <v>55360.82</v>
      </c>
      <c r="F13" s="8" t="s">
        <v>437</v>
      </c>
      <c r="G13" s="4"/>
      <c r="H13" s="4"/>
      <c r="I13" s="4"/>
      <c r="J13" s="4"/>
      <c r="K13" s="4"/>
    </row>
    <row r="14" customFormat="false" ht="23.85" hidden="false" customHeight="false" outlineLevel="0" collapsed="false">
      <c r="A14" s="10" t="s">
        <v>442</v>
      </c>
      <c r="B14" s="4" t="s">
        <v>441</v>
      </c>
      <c r="C14" s="9" t="n">
        <v>157</v>
      </c>
      <c r="D14" s="5" t="n">
        <v>44418.65</v>
      </c>
      <c r="E14" s="5" t="n">
        <v>143815.78</v>
      </c>
      <c r="F14" s="8" t="s">
        <v>437</v>
      </c>
      <c r="G14" s="4"/>
      <c r="H14" s="4"/>
      <c r="I14" s="4"/>
      <c r="J14" s="4"/>
      <c r="K14" s="4"/>
    </row>
    <row r="15" customFormat="false" ht="23.85" hidden="false" customHeight="false" outlineLevel="0" collapsed="false">
      <c r="A15" s="4" t="s">
        <v>443</v>
      </c>
      <c r="B15" s="4" t="s">
        <v>436</v>
      </c>
      <c r="C15" s="9" t="n">
        <v>18</v>
      </c>
      <c r="D15" s="5" t="n">
        <v>2927.85</v>
      </c>
      <c r="E15" s="5" t="n">
        <v>8660.2</v>
      </c>
      <c r="F15" s="8" t="s">
        <v>437</v>
      </c>
      <c r="G15" s="4"/>
      <c r="H15" s="4"/>
      <c r="I15" s="4"/>
      <c r="J15" s="4"/>
      <c r="K15" s="4"/>
    </row>
    <row r="16" customFormat="false" ht="23.85" hidden="false" customHeight="false" outlineLevel="0" collapsed="false">
      <c r="A16" s="4" t="s">
        <v>443</v>
      </c>
      <c r="B16" s="4" t="s">
        <v>438</v>
      </c>
      <c r="C16" s="9" t="n">
        <v>45</v>
      </c>
      <c r="D16" s="5" t="n">
        <v>15754.44</v>
      </c>
      <c r="E16" s="5" t="n">
        <v>42530.32</v>
      </c>
      <c r="F16" s="8" t="s">
        <v>437</v>
      </c>
      <c r="G16" s="4"/>
      <c r="H16" s="4"/>
      <c r="I16" s="4"/>
      <c r="J16" s="4"/>
      <c r="K16" s="4"/>
    </row>
    <row r="17" customFormat="false" ht="23.85" hidden="false" customHeight="false" outlineLevel="0" collapsed="false">
      <c r="A17" s="4" t="s">
        <v>443</v>
      </c>
      <c r="B17" s="4" t="s">
        <v>439</v>
      </c>
      <c r="C17" s="9" t="n">
        <v>31</v>
      </c>
      <c r="D17" s="5" t="n">
        <v>11747.3</v>
      </c>
      <c r="E17" s="5" t="n">
        <v>38425.2</v>
      </c>
      <c r="F17" s="8" t="s">
        <v>437</v>
      </c>
      <c r="G17" s="4"/>
      <c r="H17" s="4"/>
      <c r="I17" s="4"/>
      <c r="J17" s="4"/>
      <c r="K17" s="4"/>
    </row>
    <row r="18" customFormat="false" ht="23.85" hidden="false" customHeight="false" outlineLevel="0" collapsed="false">
      <c r="A18" s="4" t="s">
        <v>443</v>
      </c>
      <c r="B18" s="4" t="s">
        <v>440</v>
      </c>
      <c r="C18" s="9" t="n">
        <v>77</v>
      </c>
      <c r="D18" s="5" t="n">
        <v>19192.38</v>
      </c>
      <c r="E18" s="5" t="n">
        <v>67574.82</v>
      </c>
      <c r="F18" s="8" t="s">
        <v>437</v>
      </c>
      <c r="G18" s="4"/>
      <c r="H18" s="4"/>
      <c r="I18" s="4"/>
      <c r="J18" s="4"/>
      <c r="K18" s="4"/>
    </row>
    <row r="19" customFormat="false" ht="23.85" hidden="false" customHeight="false" outlineLevel="0" collapsed="false">
      <c r="A19" s="10" t="s">
        <v>443</v>
      </c>
      <c r="B19" s="4" t="s">
        <v>441</v>
      </c>
      <c r="C19" s="9" t="n">
        <v>171</v>
      </c>
      <c r="D19" s="5" t="n">
        <v>49621.97</v>
      </c>
      <c r="E19" s="5" t="n">
        <v>157190.54</v>
      </c>
      <c r="F19" s="8" t="s">
        <v>437</v>
      </c>
      <c r="G19" s="4"/>
      <c r="H19" s="4"/>
      <c r="I19" s="4"/>
      <c r="J19" s="4"/>
      <c r="K19" s="4"/>
    </row>
    <row r="21" customFormat="false" ht="15" hidden="false" customHeight="false" outlineLevel="0" collapsed="false">
      <c r="A21" s="11" t="s">
        <v>444</v>
      </c>
    </row>
    <row r="23" customFormat="false" ht="25.5" hidden="false" customHeight="true" outlineLevel="0" collapsed="false">
      <c r="A23" s="3" t="s">
        <v>445</v>
      </c>
      <c r="B23" s="3" t="s">
        <v>446</v>
      </c>
      <c r="C23" s="3" t="s">
        <v>447</v>
      </c>
      <c r="D23" s="3" t="s">
        <v>448</v>
      </c>
      <c r="E23" s="3" t="s">
        <v>449</v>
      </c>
      <c r="F23" s="3" t="s">
        <v>450</v>
      </c>
      <c r="G23" s="3" t="s">
        <v>451</v>
      </c>
      <c r="H23" s="3" t="s">
        <v>452</v>
      </c>
      <c r="I23" s="3" t="s">
        <v>453</v>
      </c>
      <c r="J23" s="3" t="s">
        <v>454</v>
      </c>
      <c r="K23" s="3" t="s">
        <v>455</v>
      </c>
    </row>
    <row r="24" customFormat="false" ht="15" hidden="false" customHeight="false" outlineLevel="0" collapsed="false">
      <c r="A24" s="4" t="s">
        <v>456</v>
      </c>
      <c r="B24" s="5" t="n">
        <v>84.5</v>
      </c>
      <c r="C24" s="5" t="n">
        <v>215.6</v>
      </c>
      <c r="D24" s="4"/>
      <c r="E24" s="4"/>
      <c r="F24" s="4"/>
      <c r="G24" s="4"/>
      <c r="H24" s="4"/>
      <c r="I24" s="4"/>
      <c r="J24" s="5" t="n">
        <v>84.5</v>
      </c>
      <c r="K24" s="5" t="n">
        <v>215.6</v>
      </c>
    </row>
    <row r="25" customFormat="false" ht="15" hidden="false" customHeight="false" outlineLevel="0" collapsed="false">
      <c r="A25" s="4" t="s">
        <v>457</v>
      </c>
      <c r="B25" s="5" t="n">
        <v>193.35</v>
      </c>
      <c r="C25" s="5" t="n">
        <v>574.6</v>
      </c>
      <c r="D25" s="4"/>
      <c r="E25" s="4"/>
      <c r="F25" s="4"/>
      <c r="G25" s="4"/>
      <c r="H25" s="4"/>
      <c r="I25" s="4"/>
      <c r="J25" s="5" t="n">
        <v>193.35</v>
      </c>
      <c r="K25" s="5" t="n">
        <v>574.6</v>
      </c>
    </row>
    <row r="26" customFormat="false" ht="15" hidden="false" customHeight="false" outlineLevel="0" collapsed="false">
      <c r="A26" s="4" t="s">
        <v>458</v>
      </c>
      <c r="B26" s="5" t="n">
        <v>2650</v>
      </c>
      <c r="C26" s="5" t="n">
        <v>7870</v>
      </c>
      <c r="D26" s="5" t="n">
        <v>6688</v>
      </c>
      <c r="E26" s="5" t="n">
        <v>16680.5</v>
      </c>
      <c r="F26" s="5" t="n">
        <v>0</v>
      </c>
      <c r="G26" s="5" t="n">
        <v>0</v>
      </c>
      <c r="H26" s="5" t="n">
        <v>125.9</v>
      </c>
      <c r="I26" s="5" t="n">
        <v>503</v>
      </c>
      <c r="J26" s="5" t="n">
        <v>9463.9</v>
      </c>
      <c r="K26" s="5" t="n">
        <v>25053.5</v>
      </c>
    </row>
    <row r="27" customFormat="false" ht="15" hidden="false" customHeight="false" outlineLevel="0" collapsed="false">
      <c r="A27" s="4" t="s">
        <v>459</v>
      </c>
      <c r="B27" s="4"/>
      <c r="C27" s="4"/>
      <c r="D27" s="5" t="n">
        <v>8271.44</v>
      </c>
      <c r="E27" s="5" t="n">
        <v>24249.82</v>
      </c>
      <c r="F27" s="5" t="n">
        <v>7787.3</v>
      </c>
      <c r="G27" s="5" t="n">
        <v>24905.2</v>
      </c>
      <c r="H27" s="5" t="n">
        <v>3707.7</v>
      </c>
      <c r="I27" s="5" t="n">
        <v>16089</v>
      </c>
      <c r="J27" s="5" t="n">
        <v>19766.44</v>
      </c>
      <c r="K27" s="5" t="n">
        <v>65244.02</v>
      </c>
    </row>
    <row r="28" customFormat="false" ht="15" hidden="false" customHeight="false" outlineLevel="0" collapsed="false">
      <c r="A28" s="4" t="s">
        <v>460</v>
      </c>
      <c r="B28" s="4"/>
      <c r="C28" s="4"/>
      <c r="D28" s="5" t="n">
        <v>795</v>
      </c>
      <c r="E28" s="5" t="n">
        <v>1600</v>
      </c>
      <c r="F28" s="5" t="n">
        <v>3960</v>
      </c>
      <c r="G28" s="5" t="n">
        <v>13520</v>
      </c>
      <c r="H28" s="5" t="n">
        <v>14158.78</v>
      </c>
      <c r="I28" s="5" t="n">
        <v>46182.82</v>
      </c>
      <c r="J28" s="5" t="n">
        <v>18913.78</v>
      </c>
      <c r="K28" s="5" t="n">
        <v>61302.82</v>
      </c>
    </row>
    <row r="29" customFormat="false" ht="15" hidden="false" customHeight="false" outlineLevel="0" collapsed="false">
      <c r="A29" s="4" t="s">
        <v>461</v>
      </c>
      <c r="B29" s="4"/>
      <c r="C29" s="4"/>
      <c r="D29" s="5" t="n">
        <v>0</v>
      </c>
      <c r="E29" s="5" t="n">
        <v>0</v>
      </c>
      <c r="F29" s="5" t="n">
        <v>0</v>
      </c>
      <c r="G29" s="5" t="n">
        <v>0</v>
      </c>
      <c r="H29" s="5" t="n">
        <v>1200</v>
      </c>
      <c r="I29" s="5" t="n">
        <v>4800</v>
      </c>
      <c r="J29" s="5" t="n">
        <v>1200</v>
      </c>
      <c r="K29" s="5" t="n">
        <v>4800</v>
      </c>
    </row>
    <row r="30" customFormat="false" ht="15" hidden="false" customHeight="false" outlineLevel="0" collapsed="false">
      <c r="A30" s="10" t="s">
        <v>441</v>
      </c>
      <c r="B30" s="5" t="n">
        <v>2927.85</v>
      </c>
      <c r="C30" s="5" t="n">
        <v>8660.2</v>
      </c>
      <c r="D30" s="5" t="n">
        <v>15754.44</v>
      </c>
      <c r="E30" s="5" t="n">
        <v>42530.32</v>
      </c>
      <c r="F30" s="5" t="n">
        <v>11747.3</v>
      </c>
      <c r="G30" s="5" t="n">
        <v>38425.2</v>
      </c>
      <c r="H30" s="5" t="n">
        <v>19192.38</v>
      </c>
      <c r="I30" s="5" t="n">
        <v>67574.82</v>
      </c>
      <c r="J30" s="5" t="n">
        <v>49621.97</v>
      </c>
      <c r="K30" s="5" t="n">
        <v>157190.54</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0"/>
    <col collapsed="false" customWidth="true" hidden="false" outlineLevel="0" max="3" min="3" style="0" width="18"/>
  </cols>
  <sheetData>
    <row r="1" customFormat="false" ht="21.75" hidden="false" customHeight="true" outlineLevel="0" collapsed="false">
      <c r="A1" s="1" t="s">
        <v>462</v>
      </c>
      <c r="B1" s="1"/>
      <c r="C1" s="1"/>
    </row>
    <row r="2" customFormat="false" ht="15" hidden="false" customHeight="false" outlineLevel="0" collapsed="false">
      <c r="A2" s="2" t="s">
        <v>463</v>
      </c>
      <c r="B2" s="2"/>
      <c r="C2" s="2"/>
    </row>
    <row r="4" customFormat="false" ht="25.5" hidden="false" customHeight="true" outlineLevel="0" collapsed="false">
      <c r="A4" s="3" t="s">
        <v>464</v>
      </c>
      <c r="B4" s="3" t="s">
        <v>465</v>
      </c>
      <c r="C4" s="3" t="s">
        <v>466</v>
      </c>
    </row>
    <row r="5" customFormat="false" ht="15" hidden="false" customHeight="false" outlineLevel="0" collapsed="false">
      <c r="A5" s="4" t="s">
        <v>467</v>
      </c>
      <c r="B5" s="9" t="n">
        <v>229405</v>
      </c>
      <c r="C5" s="9" t="n">
        <v>229159</v>
      </c>
    </row>
    <row r="6" customFormat="false" ht="15" hidden="false" customHeight="false" outlineLevel="0" collapsed="false">
      <c r="A6" s="4" t="s">
        <v>468</v>
      </c>
      <c r="B6" s="9" t="n">
        <v>210710</v>
      </c>
      <c r="C6" s="9" t="n">
        <v>210710</v>
      </c>
    </row>
    <row r="7" customFormat="false" ht="15" hidden="false" customHeight="false" outlineLevel="0" collapsed="false">
      <c r="A7" s="4" t="s">
        <v>469</v>
      </c>
      <c r="B7" s="9" t="n">
        <v>215597</v>
      </c>
      <c r="C7" s="9" t="n">
        <v>215543</v>
      </c>
    </row>
    <row r="8" customFormat="false" ht="15" hidden="false" customHeight="false" outlineLevel="0" collapsed="false">
      <c r="A8" s="4" t="s">
        <v>470</v>
      </c>
      <c r="B8" s="9" t="n">
        <v>241213</v>
      </c>
      <c r="C8" s="9" t="n">
        <v>241201</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14" min="2" style="0" width="13"/>
    <col collapsed="false" customWidth="true" hidden="false" outlineLevel="0" max="15" min="15" style="0" width="16"/>
  </cols>
  <sheetData>
    <row r="1" customFormat="false" ht="21.75" hidden="false" customHeight="true" outlineLevel="0" collapsed="false">
      <c r="A1" s="1" t="s">
        <v>471</v>
      </c>
      <c r="B1" s="1"/>
      <c r="C1" s="1"/>
      <c r="D1" s="1"/>
      <c r="E1" s="1"/>
      <c r="F1" s="1"/>
      <c r="G1" s="1"/>
      <c r="H1" s="1"/>
      <c r="I1" s="1"/>
      <c r="J1" s="1"/>
      <c r="K1" s="1"/>
      <c r="L1" s="1"/>
      <c r="M1" s="1"/>
      <c r="N1" s="1"/>
      <c r="O1" s="1"/>
    </row>
    <row r="2" customFormat="false" ht="15" hidden="false" customHeight="false" outlineLevel="0" collapsed="false">
      <c r="A2" s="2" t="s">
        <v>472</v>
      </c>
      <c r="B2" s="2"/>
      <c r="C2" s="2"/>
      <c r="D2" s="2"/>
      <c r="E2" s="2"/>
      <c r="F2" s="2"/>
      <c r="G2" s="2"/>
      <c r="H2" s="2"/>
      <c r="I2" s="2"/>
      <c r="J2" s="2"/>
      <c r="K2" s="2"/>
      <c r="L2" s="2"/>
      <c r="M2" s="2"/>
      <c r="N2" s="2"/>
      <c r="O2" s="2"/>
    </row>
    <row r="4" customFormat="false" ht="25.5" hidden="false" customHeight="true" outlineLevel="0" collapsed="false">
      <c r="A4" s="3" t="s">
        <v>473</v>
      </c>
      <c r="B4" s="3" t="s">
        <v>474</v>
      </c>
      <c r="C4" s="3" t="s">
        <v>475</v>
      </c>
      <c r="D4" s="3" t="s">
        <v>476</v>
      </c>
      <c r="E4" s="3" t="s">
        <v>477</v>
      </c>
      <c r="F4" s="3" t="s">
        <v>478</v>
      </c>
      <c r="G4" s="3" t="s">
        <v>479</v>
      </c>
      <c r="H4" s="3" t="s">
        <v>480</v>
      </c>
      <c r="I4" s="3" t="s">
        <v>481</v>
      </c>
      <c r="J4" s="3" t="s">
        <v>482</v>
      </c>
      <c r="K4" s="3" t="s">
        <v>483</v>
      </c>
      <c r="L4" s="3" t="s">
        <v>484</v>
      </c>
      <c r="M4" s="3" t="s">
        <v>485</v>
      </c>
      <c r="N4" s="3" t="s">
        <v>486</v>
      </c>
      <c r="O4" s="3" t="s">
        <v>487</v>
      </c>
    </row>
    <row r="5" customFormat="false" ht="15" hidden="false" customHeight="false" outlineLevel="0" collapsed="false">
      <c r="A5" s="4" t="s">
        <v>488</v>
      </c>
      <c r="B5" s="5" t="n">
        <v>21042.58</v>
      </c>
      <c r="C5" s="5" t="n">
        <v>2311.77</v>
      </c>
      <c r="D5" s="5" t="n">
        <v>3423.05</v>
      </c>
      <c r="E5" s="5" t="n">
        <v>5502.37</v>
      </c>
      <c r="F5" s="5" t="n">
        <v>1865.23</v>
      </c>
      <c r="G5" s="5" t="n">
        <v>1480.97</v>
      </c>
      <c r="H5" s="5" t="n">
        <v>2117.79</v>
      </c>
      <c r="I5" s="5" t="n">
        <v>1503.3</v>
      </c>
      <c r="J5" s="5" t="n">
        <v>1110.53</v>
      </c>
      <c r="K5" s="5" t="n">
        <v>2275.55</v>
      </c>
      <c r="L5" s="5" t="n">
        <v>3253.38</v>
      </c>
      <c r="M5" s="5" t="n">
        <v>4151.31</v>
      </c>
      <c r="N5" s="5" t="n">
        <v>1348.55</v>
      </c>
      <c r="O5" s="5" t="n">
        <v>57443.39</v>
      </c>
    </row>
    <row r="6" customFormat="false" ht="15" hidden="false" customHeight="false" outlineLevel="0" collapsed="false">
      <c r="A6" s="4" t="s">
        <v>489</v>
      </c>
      <c r="B6" s="5" t="n">
        <v>2821.91</v>
      </c>
      <c r="C6" s="5" t="n">
        <v>1171.62</v>
      </c>
      <c r="D6" s="5" t="n">
        <v>3130.36</v>
      </c>
      <c r="E6" s="5" t="n">
        <v>5658.63</v>
      </c>
      <c r="F6" s="5" t="n">
        <v>9563.69</v>
      </c>
      <c r="G6" s="5" t="n">
        <v>6750.97</v>
      </c>
      <c r="H6" s="5" t="n">
        <v>6510.06</v>
      </c>
      <c r="I6" s="5" t="n">
        <v>5628.8</v>
      </c>
      <c r="J6" s="5" t="n">
        <v>12760.5</v>
      </c>
      <c r="K6" s="5" t="n">
        <v>12783.8</v>
      </c>
      <c r="L6" s="5" t="n">
        <v>15033.24</v>
      </c>
      <c r="M6" s="5" t="n">
        <v>23832.87</v>
      </c>
      <c r="N6" s="5" t="n">
        <v>11891.3</v>
      </c>
      <c r="O6" s="5" t="n">
        <v>162152</v>
      </c>
    </row>
    <row r="7" customFormat="false" ht="15" hidden="false" customHeight="false" outlineLevel="0" collapsed="false">
      <c r="A7" s="4" t="s">
        <v>490</v>
      </c>
      <c r="B7" s="5" t="n">
        <v>3803.68</v>
      </c>
      <c r="C7" s="5" t="n">
        <v>251.68</v>
      </c>
      <c r="D7" s="5" t="n">
        <v>218.11</v>
      </c>
      <c r="E7" s="5" t="n">
        <v>106.38</v>
      </c>
      <c r="F7" s="5" t="n">
        <v>105.95</v>
      </c>
      <c r="G7" s="5" t="n">
        <v>107.34</v>
      </c>
      <c r="H7" s="5" t="n">
        <v>90.01</v>
      </c>
      <c r="I7" s="5" t="n">
        <v>103.65</v>
      </c>
      <c r="J7" s="5" t="n">
        <v>62.09</v>
      </c>
      <c r="K7" s="5" t="n">
        <v>95.4</v>
      </c>
      <c r="L7" s="5" t="n">
        <v>58.95</v>
      </c>
      <c r="M7" s="5" t="n">
        <v>97.3</v>
      </c>
      <c r="N7" s="5" t="n">
        <v>10.4</v>
      </c>
      <c r="O7" s="5" t="n">
        <v>5181.76</v>
      </c>
    </row>
    <row r="8" customFormat="false" ht="15" hidden="false" customHeight="false" outlineLevel="0" collapsed="false">
      <c r="A8" s="4" t="s">
        <v>491</v>
      </c>
      <c r="B8" s="5" t="n">
        <v>7419.23</v>
      </c>
      <c r="C8" s="5" t="n">
        <v>295.67</v>
      </c>
      <c r="D8" s="5" t="n">
        <v>304.85</v>
      </c>
      <c r="E8" s="5" t="n">
        <v>161.95</v>
      </c>
      <c r="F8" s="5" t="n">
        <v>519.1</v>
      </c>
      <c r="G8" s="5" t="n">
        <v>402.7</v>
      </c>
      <c r="H8" s="5" t="n">
        <v>97</v>
      </c>
      <c r="I8" s="5" t="n">
        <v>173.37</v>
      </c>
      <c r="J8" s="5" t="n">
        <v>59.69</v>
      </c>
      <c r="K8" s="5" t="n">
        <v>0</v>
      </c>
      <c r="L8" s="5" t="n">
        <v>0</v>
      </c>
      <c r="M8" s="5" t="n">
        <v>387.76</v>
      </c>
      <c r="N8" s="5" t="n">
        <v>0</v>
      </c>
      <c r="O8" s="5" t="n">
        <v>9821.32</v>
      </c>
    </row>
    <row r="9" customFormat="false" ht="15" hidden="false" customHeight="false" outlineLevel="0" collapsed="false">
      <c r="A9" s="4" t="s">
        <v>492</v>
      </c>
      <c r="B9" s="5" t="n">
        <v>531.82</v>
      </c>
      <c r="C9" s="5" t="n">
        <v>60.05</v>
      </c>
      <c r="D9" s="5" t="n">
        <v>59.24</v>
      </c>
      <c r="E9" s="5" t="n">
        <v>2.2</v>
      </c>
      <c r="F9" s="5" t="n">
        <v>9.5</v>
      </c>
      <c r="G9" s="5" t="n">
        <v>12</v>
      </c>
      <c r="H9" s="5" t="n">
        <v>0</v>
      </c>
      <c r="I9" s="5" t="n">
        <v>97.24</v>
      </c>
      <c r="J9" s="5" t="n">
        <v>0</v>
      </c>
      <c r="K9" s="5" t="n">
        <v>42.4</v>
      </c>
      <c r="L9" s="5" t="n">
        <v>107.34</v>
      </c>
      <c r="M9" s="5" t="n">
        <v>0</v>
      </c>
      <c r="N9" s="5" t="n">
        <v>0</v>
      </c>
      <c r="O9" s="5" t="n">
        <v>1047.85</v>
      </c>
    </row>
    <row r="10" customFormat="false" ht="15" hidden="false" customHeight="false" outlineLevel="0" collapsed="false">
      <c r="A10" s="4" t="s">
        <v>493</v>
      </c>
      <c r="B10" s="5" t="n">
        <v>90.58</v>
      </c>
      <c r="C10" s="5" t="n">
        <v>0</v>
      </c>
      <c r="D10" s="5" t="n">
        <v>0</v>
      </c>
      <c r="E10" s="5" t="n">
        <v>23.5</v>
      </c>
      <c r="F10" s="5" t="n">
        <v>24.22</v>
      </c>
      <c r="G10" s="5" t="n">
        <v>0</v>
      </c>
      <c r="H10" s="5" t="n">
        <v>9.34</v>
      </c>
      <c r="I10" s="5" t="n">
        <v>21</v>
      </c>
      <c r="J10" s="5" t="n">
        <v>54.5</v>
      </c>
      <c r="K10" s="5" t="n">
        <v>25</v>
      </c>
      <c r="L10" s="5" t="n">
        <v>1.6</v>
      </c>
      <c r="M10" s="5" t="n">
        <v>59.6</v>
      </c>
      <c r="N10" s="5" t="n">
        <v>0</v>
      </c>
      <c r="O10" s="5" t="n">
        <v>324.24</v>
      </c>
    </row>
    <row r="11" customFormat="false" ht="15" hidden="false" customHeight="false" outlineLevel="0" collapsed="false">
      <c r="A11" s="4" t="s">
        <v>494</v>
      </c>
      <c r="B11" s="5" t="n">
        <v>139.79</v>
      </c>
      <c r="C11" s="5" t="n">
        <v>9.71</v>
      </c>
      <c r="D11" s="5" t="n">
        <v>5.69</v>
      </c>
      <c r="E11" s="5" t="n">
        <v>11.77</v>
      </c>
      <c r="F11" s="5" t="n">
        <v>5.55</v>
      </c>
      <c r="G11" s="5" t="n">
        <v>6.58</v>
      </c>
      <c r="H11" s="5" t="n">
        <v>19.11</v>
      </c>
      <c r="I11" s="5" t="n">
        <v>20.75</v>
      </c>
      <c r="J11" s="5" t="n">
        <v>34.66</v>
      </c>
      <c r="K11" s="5" t="n">
        <v>52.28</v>
      </c>
      <c r="L11" s="5" t="n">
        <v>30.17</v>
      </c>
      <c r="M11" s="5" t="n">
        <v>194.81</v>
      </c>
      <c r="N11" s="5" t="n">
        <v>1.04</v>
      </c>
      <c r="O11" s="5" t="n">
        <v>554.16</v>
      </c>
    </row>
    <row r="12" customFormat="false" ht="15" hidden="false" customHeight="false" outlineLevel="0" collapsed="false">
      <c r="A12" s="10" t="s">
        <v>441</v>
      </c>
      <c r="B12" s="5" t="n">
        <v>35849.59</v>
      </c>
      <c r="C12" s="5" t="n">
        <v>4100.5</v>
      </c>
      <c r="D12" s="5" t="n">
        <v>7141.3</v>
      </c>
      <c r="E12" s="5" t="n">
        <v>11466.81</v>
      </c>
      <c r="F12" s="5" t="n">
        <v>12093.24</v>
      </c>
      <c r="G12" s="5" t="n">
        <v>8760.56</v>
      </c>
      <c r="H12" s="5" t="n">
        <v>8843.31</v>
      </c>
      <c r="I12" s="5" t="n">
        <v>7548.11</v>
      </c>
      <c r="J12" s="5" t="n">
        <v>14081.97</v>
      </c>
      <c r="K12" s="5" t="n">
        <v>15274.43</v>
      </c>
      <c r="L12" s="5" t="n">
        <v>18484.68</v>
      </c>
      <c r="M12" s="5" t="n">
        <v>28723.65</v>
      </c>
      <c r="N12" s="5" t="n">
        <v>13251.29</v>
      </c>
      <c r="O12" s="5" t="n">
        <v>236524.72</v>
      </c>
    </row>
  </sheetData>
  <mergeCells count="2">
    <mergeCell ref="A1:O1"/>
    <mergeCell ref="A2:O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2026-08-06T20:28:10Z</dcterms:created>
  <dc:creator>openpyxl</dc:creator>
  <dc:description/>
  <dc:language>en-US</dc:language>
  <cp:lastModifiedBy/>
  <dcterms:modified xsi:type="dcterms:W3CDTF">2026-08-07T03:50:55Z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